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tente\Downloads\"/>
    </mc:Choice>
  </mc:AlternateContent>
  <bookViews>
    <workbookView xWindow="0" yWindow="0" windowWidth="19200" windowHeight="6930"/>
  </bookViews>
  <sheets>
    <sheet name="Sheet1" sheetId="1" r:id="rId1"/>
  </sheets>
  <definedNames>
    <definedName name="task_end" localSheetId="0">Sheet1!$G1</definedName>
    <definedName name="task_progress" localSheetId="0">Sheet1!$E1</definedName>
    <definedName name="task_start" localSheetId="0">Sheet1!$F1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 l="1"/>
  <c r="AS8" i="1"/>
  <c r="AT8" i="1" s="1"/>
  <c r="AU8" i="1" s="1"/>
  <c r="AS30" i="1" l="1"/>
  <c r="AT30" i="1" s="1"/>
  <c r="AU30" i="1" s="1"/>
  <c r="AS29" i="1"/>
  <c r="AT29" i="1" s="1"/>
  <c r="AU29" i="1" s="1"/>
  <c r="AS28" i="1"/>
  <c r="AT28" i="1" s="1"/>
  <c r="AU28" i="1" s="1"/>
  <c r="AS27" i="1"/>
  <c r="AT27" i="1" s="1"/>
  <c r="AU27" i="1" s="1"/>
  <c r="AS26" i="1"/>
  <c r="AT26" i="1" s="1"/>
  <c r="AU26" i="1" s="1"/>
  <c r="AS25" i="1"/>
  <c r="AT25" i="1" s="1"/>
  <c r="AU25" i="1" s="1"/>
  <c r="AS24" i="1"/>
  <c r="AT24" i="1" s="1"/>
  <c r="AU24" i="1" s="1"/>
  <c r="AS23" i="1"/>
  <c r="AT23" i="1" s="1"/>
  <c r="AU23" i="1" s="1"/>
  <c r="AS22" i="1"/>
  <c r="AT22" i="1" s="1"/>
  <c r="AU22" i="1" s="1"/>
  <c r="AS21" i="1"/>
  <c r="AT21" i="1" s="1"/>
  <c r="AU21" i="1" s="1"/>
  <c r="AS20" i="1"/>
  <c r="AT20" i="1" s="1"/>
  <c r="AU20" i="1" s="1"/>
  <c r="AS19" i="1"/>
  <c r="AT19" i="1" s="1"/>
  <c r="AU19" i="1" s="1"/>
  <c r="AS18" i="1"/>
  <c r="AT18" i="1" s="1"/>
  <c r="AU18" i="1" s="1"/>
  <c r="AS17" i="1"/>
  <c r="AT17" i="1" s="1"/>
  <c r="AU17" i="1" s="1"/>
  <c r="AS16" i="1"/>
  <c r="AT16" i="1" s="1"/>
  <c r="AU16" i="1" s="1"/>
  <c r="AS15" i="1"/>
  <c r="AT15" i="1" s="1"/>
  <c r="AU15" i="1" s="1"/>
  <c r="AS14" i="1"/>
  <c r="AT14" i="1" s="1"/>
  <c r="AU14" i="1" s="1"/>
  <c r="AS13" i="1"/>
  <c r="AT13" i="1" s="1"/>
  <c r="AU13" i="1" s="1"/>
  <c r="AS10" i="1"/>
  <c r="AT10" i="1" s="1"/>
  <c r="AU10" i="1" s="1"/>
  <c r="AS9" i="1" l="1"/>
  <c r="AT9" i="1" s="1"/>
  <c r="AS11" i="1"/>
  <c r="AT11" i="1" s="1"/>
  <c r="AU11" i="1" s="1"/>
  <c r="AS12" i="1"/>
  <c r="AT12" i="1" s="1"/>
  <c r="AU12" i="1" s="1"/>
  <c r="AD3" i="1"/>
  <c r="M3" i="1"/>
  <c r="AQ3" i="1"/>
  <c r="AM3" i="1"/>
  <c r="AI3" i="1"/>
  <c r="Z3" i="1"/>
  <c r="V3" i="1"/>
  <c r="Q3" i="1"/>
  <c r="I3" i="1"/>
  <c r="AU9" i="1" l="1"/>
  <c r="AU34" i="1" s="1"/>
  <c r="AT34" i="1"/>
  <c r="AS34" i="1"/>
</calcChain>
</file>

<file path=xl/sharedStrings.xml><?xml version="1.0" encoding="utf-8"?>
<sst xmlns="http://schemas.openxmlformats.org/spreadsheetml/2006/main" count="43" uniqueCount="42">
  <si>
    <t>TASK</t>
  </si>
  <si>
    <t xml:space="preserve">START </t>
  </si>
  <si>
    <t>END</t>
  </si>
  <si>
    <t>Week</t>
  </si>
  <si>
    <t>Month</t>
  </si>
  <si>
    <t>Days</t>
  </si>
  <si>
    <t>%</t>
  </si>
  <si>
    <t>Gantt v1.0.0</t>
  </si>
  <si>
    <t>€/h</t>
  </si>
  <si>
    <t>Costo Risorse Esterne:</t>
  </si>
  <si>
    <t>Costo Risorse Interne:</t>
  </si>
  <si>
    <t>Hours x Week:</t>
  </si>
  <si>
    <t>h</t>
  </si>
  <si>
    <t>Cost €</t>
  </si>
  <si>
    <t>Hours #</t>
  </si>
  <si>
    <t>Weeks #</t>
  </si>
  <si>
    <t>FASE 12 — Completamento (da pianificare)</t>
  </si>
  <si>
    <t>Qpe</t>
  </si>
  <si>
    <t>Project Start: 28 March 2026</t>
  </si>
  <si>
    <t>Studio di fattibilità, Requisiti funzionali RF01–RF08, Requisiti non funzionali RNF01–RNF08, Analisi economica (BEP, ROI, Payback, VAN, TIR), Piano di project management (SMART, team, rischi, KPI), Setup repository GitHub (struttura, LICENSE, README base)</t>
  </si>
  <si>
    <t>Inizializzazione React + Vite + Firebase, Firebase Authentication (email/password + Google OAuth), Firestore: struttura dati utenti e profili,Variabili d'ambiente e sicurezza chiavi API, Regole Firestore base</t>
  </si>
  <si>
    <t>FASE 2 — Infrastruttura base</t>
  </si>
  <si>
    <t>FASE 1 — Avvio e documentazione</t>
  </si>
  <si>
    <t>FASE 3 — GDPR e Privacy</t>
  </si>
  <si>
    <t>Cookie Banner con 3 livelli di consenso, Privacy Policy, Cookie Policy, Export dati personali (Art. 20), Eliminazione account (Art. 17), Documentazione GDPR in docs/cookies_gdpr/</t>
  </si>
  <si>
    <t>Creazione sondaggio (preview live, color picker, hashtag), Pagina voto coupé a schermo intero, Sistema risultati (percentuali, barre, zero bias), Annullamento voto, Sistema like, Commenti e risposte annidate, Statistiche autore, Modifica ed eliminazione sondaggio</t>
  </si>
  <si>
    <t>Home feed dinamico con Firestore, Tab Per te / Seguiti / Tendenze, Filtro per hashtag, Cache tab con invalidazione, Skeleton loading e stati vuoti, BottomNav mobile + header sticky</t>
  </si>
  <si>
    <t>FASE 4 — Funzionalità core sondaggi</t>
  </si>
  <si>
    <t>FASE 5 — Feed e navigazione</t>
  </si>
  <si>
    <t>FASE 6 — Profilo e sociale</t>
  </si>
  <si>
    <t>Profilo personale con statistiche, Upload avatar con compressione, Follow/Unfollow con notifica, Profili pubblici (/u/:uid), Ricerca utenti e sondaggi, Messaggi diretti (DM) in tempo reale</t>
  </si>
  <si>
    <t>FASE 7 — Notifiche e push</t>
  </si>
  <si>
    <t>Notifiche in-app real-time (follow, voto, like, commento), Badge non letti su BottomNav e header, Firebase Cloud Messaging (push), Cloud Functions: sendPushOnNotification, Primo deploy Firebase Hosting, Documentazione GDPR in docs/cookies_gdpr/</t>
  </si>
  <si>
    <t>FASE 8 — UI/UX avanzata</t>
  </si>
  <si>
    <t>Tema chiaro warm sand, Rilevamento system preference, Toggle manuale tema con localStorage, Toast notifications, Animazioni stagger e transizioni pagina, Layout responsive tablet/desktop</t>
  </si>
  <si>
    <t>FASE 9 — Feature avanzate</t>
  </si>
  <si>
    <t>Reel view scroll-snap verticale (/reel), Algoritmo "Per te" con scoring, Profili privati e approvazione follow, Accept/Reject richieste follow in Notifiche, Badge ✓ votato sulle card del feed, Vista autore con percentuali senza voto</t>
  </si>
  <si>
    <t>FASE 10 — Moderazione e sicurezza</t>
  </si>
  <si>
    <t>Bot moderazione: moderatePoll, moderateComment, moderateReply, Blocklist IT/EN (~55 termini), Sistema violazioni (3 infrazioni → limited), Toast feedback moderazione con onSnapshot, Modalità utente: limited / normal / premium, Auto-upgrade limited → normal dopo 24h</t>
  </si>
  <si>
    <t>Pagina inserzionisti /advertise, Pacchetti Starter / Growth / Enterprise</t>
  </si>
  <si>
    <t>FASE 11 — Business e monetizzazione</t>
  </si>
  <si>
    <t>Media kit PDF, Dominio personalizzato qpe.app, Definizione modalità normal e premium, Onboarding nuovi utenti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</si>
</sst>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mmmmm;@"/>
    <numFmt numFmtId="165" formatCode="[$-409]d\-mmm;@"/>
    <numFmt numFmtId="166" formatCode="#,##0.00\ [$€-410]"/>
    <numFmt numFmtId="167" formatCode="d/m/yy;@"/>
  </numFmts>
  <fonts count="10">
    <font>
      <sz val="11"/>
      <color theme="1"/>
      <name val="Aptos Narrow"/>
      <family val="2"/>
      <scheme val="minor"/>
    </font>
    <font>
      <sz val="11"/>
      <color theme="0"/>
      <name val="Aptos Narrow"/>
      <family val="2"/>
      <scheme val="minor"/>
    </font>
    <font>
      <sz val="8"/>
      <name val="Aptos Narrow"/>
      <family val="2"/>
      <scheme val="minor"/>
    </font>
    <font>
      <sz val="9"/>
      <color theme="1"/>
      <name val="Aptos Narrow"/>
      <family val="2"/>
      <scheme val="minor"/>
    </font>
    <font>
      <sz val="18"/>
      <color theme="1"/>
      <name val="Aptos Narrow"/>
      <family val="2"/>
      <scheme val="minor"/>
    </font>
    <font>
      <sz val="13"/>
      <color theme="0"/>
      <name val="Aptos Narrow"/>
      <family val="2"/>
      <scheme val="minor"/>
    </font>
    <font>
      <sz val="15"/>
      <color theme="1"/>
      <name val="Aptos Narrow"/>
      <family val="2"/>
      <scheme val="minor"/>
    </font>
    <font>
      <sz val="25"/>
      <color theme="1"/>
      <name val="Aptos Narrow"/>
      <family val="2"/>
      <scheme val="minor"/>
    </font>
    <font>
      <sz val="11"/>
      <color theme="1"/>
      <name val="Aptos Narrow"/>
      <family val="2"/>
      <scheme val="minor"/>
    </font>
    <font>
      <b/>
      <sz val="11"/>
      <color theme="1"/>
      <name val="Aptos Narrow"/>
      <family val="2"/>
      <scheme val="minor"/>
    </font>
  </fonts>
  <fills count="14">
    <fill>
      <patternFill patternType="none"/>
    </fill>
    <fill>
      <patternFill patternType="gray125"/>
    </fill>
    <fill>
      <patternFill patternType="solid">
        <fgColor theme="2" tint="-0.74999237037263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0" tint="-0.24994659260841701"/>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EFF9EB"/>
        <bgColor indexed="64"/>
      </patternFill>
    </fill>
    <fill>
      <patternFill patternType="solid">
        <fgColor theme="1" tint="0.499984740745262"/>
        <bgColor indexed="64"/>
      </patternFill>
    </fill>
    <fill>
      <patternFill patternType="solid">
        <fgColor rgb="FFE89078"/>
        <bgColor indexed="64"/>
      </patternFill>
    </fill>
    <fill>
      <patternFill patternType="solid">
        <fgColor theme="8" tint="0.59996337778862885"/>
        <bgColor indexed="64"/>
      </patternFill>
    </fill>
    <fill>
      <patternFill patternType="solid">
        <fgColor rgb="FFFEE0DE"/>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medium">
        <color theme="0" tint="-0.14996795556505021"/>
      </top>
      <bottom style="medium">
        <color theme="0" tint="-0.14996795556505021"/>
      </bottom>
      <diagonal/>
    </border>
  </borders>
  <cellStyleXfs count="3">
    <xf numFmtId="0" fontId="0" fillId="0" borderId="0"/>
    <xf numFmtId="0" fontId="8" fillId="0" borderId="14" applyFill="0">
      <alignment horizontal="left" vertical="center" indent="2"/>
    </xf>
    <xf numFmtId="167" fontId="8" fillId="0" borderId="14" applyFill="0">
      <alignment horizontal="center" vertical="center"/>
    </xf>
  </cellStyleXfs>
  <cellXfs count="60">
    <xf numFmtId="0" fontId="0" fillId="0" borderId="0" xfId="0"/>
    <xf numFmtId="0" fontId="0" fillId="0" borderId="0" xfId="0" applyAlignment="1">
      <alignment horizontal="center"/>
    </xf>
    <xf numFmtId="16" fontId="0" fillId="0" borderId="0" xfId="0" applyNumberFormat="1" applyAlignment="1">
      <alignment horizontal="center"/>
    </xf>
    <xf numFmtId="0" fontId="4" fillId="0" borderId="0" xfId="0" applyFont="1" applyAlignment="1">
      <alignment horizontal="center" vertical="center"/>
    </xf>
    <xf numFmtId="0" fontId="1" fillId="2" borderId="0" xfId="0" applyFont="1" applyFill="1"/>
    <xf numFmtId="0" fontId="1" fillId="2" borderId="0" xfId="0" applyFont="1" applyFill="1" applyAlignment="1">
      <alignment horizontal="center"/>
    </xf>
    <xf numFmtId="164" fontId="0" fillId="3" borderId="1" xfId="0" applyNumberFormat="1" applyFill="1" applyBorder="1" applyAlignment="1">
      <alignment horizontal="center"/>
    </xf>
    <xf numFmtId="164" fontId="0" fillId="3" borderId="3" xfId="0" applyNumberFormat="1"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16" fontId="3" fillId="3" borderId="4" xfId="0" applyNumberFormat="1" applyFont="1" applyFill="1" applyBorder="1" applyAlignment="1">
      <alignment horizontal="center"/>
    </xf>
    <xf numFmtId="16" fontId="3" fillId="4" borderId="0" xfId="0" applyNumberFormat="1" applyFont="1" applyFill="1" applyAlignment="1">
      <alignment horizontal="center"/>
    </xf>
    <xf numFmtId="16" fontId="3" fillId="5" borderId="0" xfId="0" applyNumberFormat="1" applyFont="1" applyFill="1" applyAlignment="1">
      <alignment horizontal="center"/>
    </xf>
    <xf numFmtId="16" fontId="3" fillId="6" borderId="5" xfId="0" applyNumberFormat="1" applyFont="1" applyFill="1" applyBorder="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16" fontId="3" fillId="6" borderId="0" xfId="0" applyNumberFormat="1" applyFont="1" applyFill="1" applyAlignment="1">
      <alignment horizontal="center"/>
    </xf>
    <xf numFmtId="16" fontId="3" fillId="10" borderId="5" xfId="0" applyNumberFormat="1" applyFont="1" applyFill="1" applyBorder="1" applyAlignment="1">
      <alignment horizontal="center"/>
    </xf>
    <xf numFmtId="16" fontId="3" fillId="11" borderId="4" xfId="0" applyNumberFormat="1" applyFont="1" applyFill="1" applyBorder="1" applyAlignment="1">
      <alignment horizontal="center"/>
    </xf>
    <xf numFmtId="0" fontId="0" fillId="0" borderId="6" xfId="0" applyBorder="1"/>
    <xf numFmtId="0" fontId="0" fillId="0" borderId="6" xfId="0" applyBorder="1" applyAlignment="1">
      <alignment horizontal="center"/>
    </xf>
    <xf numFmtId="0" fontId="0" fillId="13" borderId="6" xfId="0" applyFill="1" applyBorder="1" applyAlignment="1">
      <alignment horizontal="center"/>
    </xf>
    <xf numFmtId="0" fontId="0" fillId="0" borderId="7" xfId="0" applyBorder="1"/>
    <xf numFmtId="0" fontId="0" fillId="0" borderId="7" xfId="0" applyBorder="1" applyAlignment="1">
      <alignment horizontal="center"/>
    </xf>
    <xf numFmtId="9" fontId="0" fillId="0" borderId="7" xfId="0" applyNumberFormat="1" applyBorder="1" applyAlignment="1">
      <alignment horizontal="center" vertical="center"/>
    </xf>
    <xf numFmtId="165" fontId="0" fillId="0" borderId="7" xfId="0" applyNumberFormat="1" applyBorder="1" applyAlignment="1">
      <alignment horizontal="left" vertical="center"/>
    </xf>
    <xf numFmtId="0" fontId="0" fillId="0" borderId="7" xfId="0" applyBorder="1" applyAlignment="1">
      <alignment horizontal="left" vertical="center" indent="1"/>
    </xf>
    <xf numFmtId="0" fontId="5"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5" xfId="0" applyBorder="1" applyAlignment="1">
      <alignment horizontal="center"/>
    </xf>
    <xf numFmtId="0" fontId="0" fillId="0" borderId="4" xfId="0" applyBorder="1"/>
    <xf numFmtId="0" fontId="0" fillId="0" borderId="12" xfId="0" applyBorder="1"/>
    <xf numFmtId="0" fontId="0" fillId="0" borderId="13" xfId="0" applyBorder="1"/>
    <xf numFmtId="0" fontId="6" fillId="0" borderId="4" xfId="0" applyFont="1" applyBorder="1" applyAlignment="1">
      <alignment horizontal="center"/>
    </xf>
    <xf numFmtId="0" fontId="0" fillId="0" borderId="0" xfId="0" applyAlignment="1">
      <alignment horizontal="right"/>
    </xf>
    <xf numFmtId="0" fontId="0" fillId="0" borderId="5" xfId="0" applyBorder="1"/>
    <xf numFmtId="0" fontId="0" fillId="3" borderId="1" xfId="0" applyFill="1" applyBorder="1" applyAlignment="1">
      <alignment horizontal="center"/>
    </xf>
    <xf numFmtId="0" fontId="0" fillId="8" borderId="8" xfId="0" applyFill="1" applyBorder="1" applyAlignment="1">
      <alignment horizontal="center"/>
    </xf>
    <xf numFmtId="0" fontId="0" fillId="0" borderId="4" xfId="0" applyBorder="1" applyAlignment="1">
      <alignment horizontal="right"/>
    </xf>
    <xf numFmtId="0" fontId="0" fillId="3" borderId="12"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8" borderId="9" xfId="0" applyFill="1" applyBorder="1" applyAlignment="1">
      <alignment horizontal="center"/>
    </xf>
    <xf numFmtId="166" fontId="0" fillId="12" borderId="11" xfId="0" applyNumberFormat="1" applyFill="1" applyBorder="1" applyAlignment="1">
      <alignment horizontal="center"/>
    </xf>
    <xf numFmtId="0" fontId="0" fillId="0" borderId="0" xfId="0" applyAlignment="1">
      <alignment horizontal="center"/>
    </xf>
    <xf numFmtId="0" fontId="0" fillId="0" borderId="0" xfId="0" applyAlignment="1">
      <alignment horizontal="center"/>
    </xf>
    <xf numFmtId="0" fontId="0" fillId="0" borderId="5" xfId="0" applyBorder="1" applyAlignment="1">
      <alignment horizontal="center"/>
    </xf>
    <xf numFmtId="0" fontId="9" fillId="0" borderId="0" xfId="0" applyFont="1" applyFill="1" applyBorder="1" applyAlignment="1">
      <alignment horizontal="left" vertical="center"/>
    </xf>
    <xf numFmtId="0" fontId="0" fillId="0" borderId="0" xfId="0" applyAlignment="1">
      <alignment horizontal="left"/>
    </xf>
    <xf numFmtId="164" fontId="0" fillId="3" borderId="1" xfId="0" applyNumberFormat="1" applyFill="1" applyBorder="1" applyAlignment="1">
      <alignment horizontal="center"/>
    </xf>
    <xf numFmtId="164" fontId="0" fillId="3" borderId="2" xfId="0" applyNumberFormat="1" applyFill="1" applyBorder="1" applyAlignment="1">
      <alignment horizontal="center"/>
    </xf>
    <xf numFmtId="164" fontId="0" fillId="3" borderId="3" xfId="0" applyNumberFormat="1" applyFill="1" applyBorder="1" applyAlignment="1">
      <alignment horizontal="center"/>
    </xf>
    <xf numFmtId="0" fontId="7" fillId="0" borderId="0" xfId="0" applyFont="1" applyAlignment="1">
      <alignment horizontal="left" vertical="center"/>
    </xf>
  </cellXfs>
  <cellStyles count="3">
    <cellStyle name="Attività" xfId="1"/>
    <cellStyle name="Data" xfId="2"/>
    <cellStyle name="Normale" xfId="0" builtinId="0"/>
  </cellStyles>
  <dxfs count="14">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fill>
        <patternFill>
          <bgColor rgb="FF9999FF"/>
        </patternFill>
      </fill>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fill>
        <patternFill>
          <bgColor rgb="FF9999FF"/>
        </patternFill>
      </fill>
    </dxf>
    <dxf>
      <numFmt numFmtId="165" formatCode="[$-409]d\-mmm;@"/>
      <fill>
        <patternFill patternType="none">
          <fgColor indexed="64"/>
          <bgColor auto="1"/>
        </patternFill>
      </fill>
      <border>
        <left style="thin">
          <color theme="8" tint="0.39994506668294322"/>
        </left>
        <right style="thin">
          <color theme="8" tint="0.39994506668294322"/>
        </right>
        <top/>
        <bottom/>
        <vertical/>
        <horizontal/>
      </border>
    </dxf>
    <dxf>
      <fill>
        <patternFill>
          <bgColor rgb="FF6666FF"/>
        </patternFill>
      </fill>
    </dxf>
  </dxfs>
  <tableStyles count="0" defaultTableStyle="TableStyleMedium2" defaultPivotStyle="PivotStyleLight16"/>
  <colors>
    <mruColors>
      <color rgb="FF9999FF"/>
      <color rgb="FFFEE0DE"/>
      <color rgb="FF6666FF"/>
      <color rgb="FFE89078"/>
      <color rgb="FFEFF9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AU43"/>
  <sheetViews>
    <sheetView showGridLines="0" tabSelected="1" topLeftCell="A23" zoomScale="58" zoomScaleNormal="58" workbookViewId="0">
      <selection activeCell="AT41" sqref="AT40:AT41"/>
    </sheetView>
  </sheetViews>
  <sheetFormatPr defaultRowHeight="14"/>
  <cols>
    <col min="1" max="1" width="2.33203125" customWidth="1"/>
    <col min="2" max="2" width="6.08203125" customWidth="1"/>
    <col min="3" max="3" width="229" customWidth="1"/>
    <col min="4" max="4" width="13.25" customWidth="1"/>
    <col min="5" max="5" width="9.4140625" customWidth="1"/>
    <col min="6" max="6" width="10.4140625" customWidth="1"/>
    <col min="7" max="7" width="10.6640625" customWidth="1"/>
    <col min="9" max="9" width="5.58203125" style="1" customWidth="1"/>
    <col min="10" max="43" width="6.75" style="1" customWidth="1"/>
    <col min="45" max="49" width="13.75" customWidth="1"/>
  </cols>
  <sheetData>
    <row r="2" spans="3:47" ht="27" customHeight="1">
      <c r="C2" s="59" t="s">
        <v>17</v>
      </c>
      <c r="D2" s="59"/>
      <c r="E2" s="3"/>
    </row>
    <row r="3" spans="3:47">
      <c r="C3" s="55" t="s">
        <v>18</v>
      </c>
      <c r="D3" s="55"/>
      <c r="H3" s="15" t="s">
        <v>4</v>
      </c>
      <c r="I3" s="56" t="str">
        <f>TEXT(I5,"MMM")</f>
        <v>ott</v>
      </c>
      <c r="J3" s="57"/>
      <c r="K3" s="57"/>
      <c r="L3" s="58"/>
      <c r="M3" s="56" t="str">
        <f>TEXT(M5,"MMM")</f>
        <v>nov</v>
      </c>
      <c r="N3" s="57"/>
      <c r="O3" s="57"/>
      <c r="P3" s="58"/>
      <c r="Q3" s="56" t="str">
        <f>TEXT(Q5,"MMM")</f>
        <v>dic</v>
      </c>
      <c r="R3" s="57"/>
      <c r="S3" s="57"/>
      <c r="T3" s="57"/>
      <c r="U3" s="7"/>
      <c r="V3" s="56" t="str">
        <f>TEXT(V5,"MMM")</f>
        <v>gen</v>
      </c>
      <c r="W3" s="57"/>
      <c r="X3" s="57"/>
      <c r="Y3" s="58"/>
      <c r="Z3" s="56" t="str">
        <f>TEXT(Z5,"MMM")</f>
        <v>feb</v>
      </c>
      <c r="AA3" s="57"/>
      <c r="AB3" s="57"/>
      <c r="AC3" s="58"/>
      <c r="AD3" s="56" t="str">
        <f>TEXT(AD5,"MMM")</f>
        <v>mar</v>
      </c>
      <c r="AE3" s="57"/>
      <c r="AF3" s="57"/>
      <c r="AG3" s="57"/>
      <c r="AH3" s="7"/>
      <c r="AI3" s="56" t="str">
        <f>TEXT(AI5,"MMM")</f>
        <v>apr</v>
      </c>
      <c r="AJ3" s="57"/>
      <c r="AK3" s="57"/>
      <c r="AL3" s="58"/>
      <c r="AM3" s="56" t="str">
        <f>TEXT(AM5,"MMM")</f>
        <v>mag</v>
      </c>
      <c r="AN3" s="57"/>
      <c r="AO3" s="57"/>
      <c r="AP3" s="58"/>
      <c r="AQ3" s="6" t="str">
        <f>TEXT(AQ5,"MMM")</f>
        <v>giu</v>
      </c>
    </row>
    <row r="4" spans="3:47">
      <c r="C4" t="s">
        <v>7</v>
      </c>
      <c r="H4" s="16" t="s">
        <v>3</v>
      </c>
      <c r="I4" s="8">
        <v>1</v>
      </c>
      <c r="J4" s="9">
        <v>2</v>
      </c>
      <c r="K4" s="9">
        <v>3</v>
      </c>
      <c r="L4" s="10">
        <v>4</v>
      </c>
      <c r="M4" s="8">
        <v>5</v>
      </c>
      <c r="N4" s="9">
        <v>6</v>
      </c>
      <c r="O4" s="9">
        <v>7</v>
      </c>
      <c r="P4" s="10">
        <v>8</v>
      </c>
      <c r="Q4" s="8">
        <v>9</v>
      </c>
      <c r="R4" s="9">
        <v>10</v>
      </c>
      <c r="S4" s="9">
        <v>11</v>
      </c>
      <c r="T4" s="9">
        <v>12</v>
      </c>
      <c r="U4" s="10">
        <v>13</v>
      </c>
      <c r="V4" s="8">
        <v>14</v>
      </c>
      <c r="W4" s="9">
        <v>15</v>
      </c>
      <c r="X4" s="9">
        <v>16</v>
      </c>
      <c r="Y4" s="10">
        <v>17</v>
      </c>
      <c r="Z4" s="8">
        <v>18</v>
      </c>
      <c r="AA4" s="9">
        <v>19</v>
      </c>
      <c r="AB4" s="9">
        <v>20</v>
      </c>
      <c r="AC4" s="10">
        <v>21</v>
      </c>
      <c r="AD4" s="8">
        <v>22</v>
      </c>
      <c r="AE4" s="9">
        <v>23</v>
      </c>
      <c r="AF4" s="9">
        <v>24</v>
      </c>
      <c r="AG4" s="9">
        <v>25</v>
      </c>
      <c r="AH4" s="10">
        <v>26</v>
      </c>
      <c r="AI4" s="8">
        <v>27</v>
      </c>
      <c r="AJ4" s="9">
        <v>28</v>
      </c>
      <c r="AK4" s="9">
        <v>29</v>
      </c>
      <c r="AL4" s="10">
        <v>30</v>
      </c>
      <c r="AM4" s="8">
        <v>31</v>
      </c>
      <c r="AN4" s="9">
        <v>32</v>
      </c>
      <c r="AO4" s="9">
        <v>33</v>
      </c>
      <c r="AP4" s="10">
        <v>34</v>
      </c>
      <c r="AQ4" s="8">
        <v>35</v>
      </c>
    </row>
    <row r="5" spans="3:47">
      <c r="H5" s="17" t="s">
        <v>5</v>
      </c>
      <c r="I5" s="11">
        <v>45936</v>
      </c>
      <c r="J5" s="12">
        <v>45943</v>
      </c>
      <c r="K5" s="13">
        <v>45950</v>
      </c>
      <c r="L5" s="14">
        <v>45957</v>
      </c>
      <c r="M5" s="11">
        <v>45964</v>
      </c>
      <c r="N5" s="12">
        <v>45971</v>
      </c>
      <c r="O5" s="13">
        <v>45978</v>
      </c>
      <c r="P5" s="14">
        <v>45985</v>
      </c>
      <c r="Q5" s="11">
        <v>45992</v>
      </c>
      <c r="R5" s="12">
        <v>45999</v>
      </c>
      <c r="S5" s="13">
        <v>46006</v>
      </c>
      <c r="T5" s="18">
        <v>46013</v>
      </c>
      <c r="U5" s="19">
        <v>46020</v>
      </c>
      <c r="V5" s="11">
        <v>46027</v>
      </c>
      <c r="W5" s="12">
        <v>46034</v>
      </c>
      <c r="X5" s="13">
        <v>46041</v>
      </c>
      <c r="Y5" s="14">
        <v>46048</v>
      </c>
      <c r="Z5" s="11">
        <v>46055</v>
      </c>
      <c r="AA5" s="12">
        <v>46062</v>
      </c>
      <c r="AB5" s="13">
        <v>46069</v>
      </c>
      <c r="AC5" s="14">
        <v>46076</v>
      </c>
      <c r="AD5" s="11">
        <v>46083</v>
      </c>
      <c r="AE5" s="12">
        <v>46090</v>
      </c>
      <c r="AF5" s="13">
        <v>46097</v>
      </c>
      <c r="AG5" s="18">
        <v>46104</v>
      </c>
      <c r="AH5" s="19">
        <v>46111</v>
      </c>
      <c r="AI5" s="11">
        <v>46118</v>
      </c>
      <c r="AJ5" s="12">
        <v>46125</v>
      </c>
      <c r="AK5" s="13">
        <v>46132</v>
      </c>
      <c r="AL5" s="14">
        <v>46139</v>
      </c>
      <c r="AM5" s="11">
        <v>46146</v>
      </c>
      <c r="AN5" s="12">
        <v>46153</v>
      </c>
      <c r="AO5" s="13">
        <v>46160</v>
      </c>
      <c r="AP5" s="14">
        <v>46167</v>
      </c>
      <c r="AQ5" s="20">
        <v>46174</v>
      </c>
      <c r="AS5" s="42" t="s">
        <v>15</v>
      </c>
      <c r="AT5" s="46" t="s">
        <v>14</v>
      </c>
      <c r="AU5" s="43" t="s">
        <v>13</v>
      </c>
    </row>
    <row r="6" spans="3:47" ht="21" customHeight="1">
      <c r="C6" s="29" t="s">
        <v>0</v>
      </c>
      <c r="D6" s="29"/>
      <c r="E6" s="29" t="s">
        <v>6</v>
      </c>
      <c r="F6" s="30" t="s">
        <v>1</v>
      </c>
      <c r="G6" s="30" t="s">
        <v>2</v>
      </c>
      <c r="H6" s="4"/>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S6" s="8"/>
      <c r="AT6" s="47"/>
      <c r="AU6" s="49"/>
    </row>
    <row r="7" spans="3:47" ht="25" customHeight="1">
      <c r="C7" s="54" t="s">
        <v>22</v>
      </c>
      <c r="D7" s="54"/>
      <c r="E7" s="54"/>
      <c r="F7" s="54"/>
      <c r="G7" s="54"/>
      <c r="H7" s="21"/>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3"/>
      <c r="AS7" s="8"/>
      <c r="AT7" s="47"/>
      <c r="AU7" s="49"/>
    </row>
    <row r="8" spans="3:47" ht="21" customHeight="1">
      <c r="C8" s="28" t="s">
        <v>19</v>
      </c>
      <c r="D8" s="28"/>
      <c r="E8" s="26">
        <v>1</v>
      </c>
      <c r="F8" s="27">
        <v>46109</v>
      </c>
      <c r="G8" s="27">
        <v>46132</v>
      </c>
      <c r="H8" s="25"/>
      <c r="I8" s="25">
        <f>1*AND(I$5&gt;=task_start,I$5&lt;=task_start+(task_progress*(task_end-task_start+1))-1)</f>
        <v>0</v>
      </c>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3"/>
      <c r="AS8" s="8">
        <f t="shared" ref="AS8:AS12" si="0">INT((G8-F8)/7)</f>
        <v>3</v>
      </c>
      <c r="AT8" s="47">
        <f>AS8*$D$40</f>
        <v>9</v>
      </c>
      <c r="AU8" s="49">
        <f>AT8*$D$41</f>
        <v>135</v>
      </c>
    </row>
    <row r="9" spans="3:47" ht="25" customHeight="1">
      <c r="C9" s="54" t="s">
        <v>21</v>
      </c>
      <c r="D9" s="54"/>
      <c r="E9" s="54"/>
      <c r="F9" s="54"/>
      <c r="G9" s="54"/>
      <c r="H9" s="24"/>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3"/>
      <c r="AS9" s="8">
        <f t="shared" si="0"/>
        <v>0</v>
      </c>
      <c r="AT9" s="47">
        <f>AS9*$D$40</f>
        <v>0</v>
      </c>
      <c r="AU9" s="49">
        <f>AT9*$D$41</f>
        <v>0</v>
      </c>
    </row>
    <row r="10" spans="3:47" ht="21" customHeight="1">
      <c r="C10" s="28" t="s">
        <v>20</v>
      </c>
      <c r="D10" s="28"/>
      <c r="E10" s="26">
        <v>1</v>
      </c>
      <c r="F10" s="27">
        <v>46109</v>
      </c>
      <c r="G10" s="27">
        <v>46117</v>
      </c>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3"/>
      <c r="AS10" s="8">
        <f t="shared" ref="AS10" si="1">INT((G10-F10)/7)</f>
        <v>1</v>
      </c>
      <c r="AT10" s="47">
        <f>AS10*$D$40</f>
        <v>3</v>
      </c>
      <c r="AU10" s="49">
        <f>AT10*$D$41</f>
        <v>45</v>
      </c>
    </row>
    <row r="11" spans="3:47" ht="25" customHeight="1">
      <c r="C11" s="54" t="s">
        <v>23</v>
      </c>
      <c r="D11" s="54"/>
      <c r="E11" s="54"/>
      <c r="F11" s="54"/>
      <c r="G11" s="54"/>
      <c r="H11" s="24"/>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3"/>
      <c r="AS11" s="8">
        <f t="shared" si="0"/>
        <v>0</v>
      </c>
      <c r="AT11" s="47">
        <f>AS11*$D$40</f>
        <v>0</v>
      </c>
      <c r="AU11" s="49">
        <f>AT11*$D$41</f>
        <v>0</v>
      </c>
    </row>
    <row r="12" spans="3:47" ht="21" customHeight="1">
      <c r="C12" s="28" t="s">
        <v>24</v>
      </c>
      <c r="D12" s="28"/>
      <c r="E12" s="26">
        <v>1</v>
      </c>
      <c r="F12" s="27">
        <v>46111</v>
      </c>
      <c r="G12" s="27">
        <v>46117</v>
      </c>
      <c r="H12" s="24"/>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3"/>
      <c r="AS12" s="8">
        <f t="shared" si="0"/>
        <v>0</v>
      </c>
      <c r="AT12" s="47">
        <f>AS12*$D$40</f>
        <v>0</v>
      </c>
      <c r="AU12" s="49">
        <f>AT12*$D$41</f>
        <v>0</v>
      </c>
    </row>
    <row r="13" spans="3:47" ht="25" customHeight="1">
      <c r="C13" s="54" t="s">
        <v>27</v>
      </c>
      <c r="D13" s="54"/>
      <c r="E13" s="54"/>
      <c r="F13" s="54"/>
      <c r="G13" s="54"/>
      <c r="H13" s="24"/>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3"/>
      <c r="AS13" s="8">
        <f t="shared" ref="AS13:AS14" si="2">INT((G13-F13)/7)</f>
        <v>0</v>
      </c>
      <c r="AT13" s="47">
        <f>AS13*$D$40</f>
        <v>0</v>
      </c>
      <c r="AU13" s="49">
        <f>AT13*$D$41</f>
        <v>0</v>
      </c>
    </row>
    <row r="14" spans="3:47" ht="21" customHeight="1">
      <c r="C14" s="28" t="s">
        <v>25</v>
      </c>
      <c r="D14" s="28"/>
      <c r="E14" s="26">
        <v>1</v>
      </c>
      <c r="F14" s="27">
        <v>46118</v>
      </c>
      <c r="G14" s="27">
        <v>46126</v>
      </c>
      <c r="H14" s="24"/>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3"/>
      <c r="AS14" s="8">
        <f t="shared" si="2"/>
        <v>1</v>
      </c>
      <c r="AT14" s="47">
        <f>AS14*$D$40</f>
        <v>3</v>
      </c>
      <c r="AU14" s="49">
        <f>AT14*$D$41</f>
        <v>45</v>
      </c>
    </row>
    <row r="15" spans="3:47" ht="25" customHeight="1">
      <c r="C15" s="54" t="s">
        <v>28</v>
      </c>
      <c r="D15" s="54"/>
      <c r="E15" s="54"/>
      <c r="F15" s="54"/>
      <c r="G15" s="54"/>
      <c r="H15" s="24"/>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3"/>
      <c r="AS15" s="8">
        <f t="shared" ref="AS15:AS16" si="3">INT((G15-F15)/7)</f>
        <v>0</v>
      </c>
      <c r="AT15" s="47">
        <f>AS15*$D$40</f>
        <v>0</v>
      </c>
      <c r="AU15" s="49">
        <f>AT15*$D$41</f>
        <v>0</v>
      </c>
    </row>
    <row r="16" spans="3:47" ht="21" customHeight="1">
      <c r="C16" s="28" t="s">
        <v>26</v>
      </c>
      <c r="D16" s="28"/>
      <c r="E16" s="26">
        <v>1</v>
      </c>
      <c r="F16" s="27">
        <v>46109</v>
      </c>
      <c r="G16" s="27">
        <v>46117</v>
      </c>
      <c r="H16" s="24"/>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3"/>
      <c r="AS16" s="8">
        <f t="shared" si="3"/>
        <v>1</v>
      </c>
      <c r="AT16" s="47">
        <f>AS16*$D$40</f>
        <v>3</v>
      </c>
      <c r="AU16" s="49">
        <f>AT16*$D$41</f>
        <v>45</v>
      </c>
    </row>
    <row r="17" spans="3:47" ht="25" customHeight="1">
      <c r="C17" s="54" t="s">
        <v>29</v>
      </c>
      <c r="D17" s="54"/>
      <c r="E17" s="54"/>
      <c r="F17" s="54"/>
      <c r="G17" s="54"/>
      <c r="H17" s="24"/>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3"/>
      <c r="AS17" s="8">
        <f t="shared" ref="AS17:AS18" si="4">INT((G17-F17)/7)</f>
        <v>0</v>
      </c>
      <c r="AT17" s="47">
        <f>AS17*$D$40</f>
        <v>0</v>
      </c>
      <c r="AU17" s="49">
        <f>AT17*$D$41</f>
        <v>0</v>
      </c>
    </row>
    <row r="18" spans="3:47" ht="21" customHeight="1">
      <c r="C18" s="28" t="s">
        <v>30</v>
      </c>
      <c r="D18" s="28"/>
      <c r="E18" s="26">
        <v>1</v>
      </c>
      <c r="F18" s="27">
        <v>46109</v>
      </c>
      <c r="G18" s="27">
        <v>46117</v>
      </c>
      <c r="H18" s="24"/>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3"/>
      <c r="AS18" s="8">
        <f t="shared" si="4"/>
        <v>1</v>
      </c>
      <c r="AT18" s="47">
        <f>AS18*$D$40</f>
        <v>3</v>
      </c>
      <c r="AU18" s="49">
        <f>AT18*$D$41</f>
        <v>45</v>
      </c>
    </row>
    <row r="19" spans="3:47" ht="25" customHeight="1">
      <c r="C19" s="54" t="s">
        <v>31</v>
      </c>
      <c r="D19" s="54"/>
      <c r="E19" s="54"/>
      <c r="F19" s="54"/>
      <c r="G19" s="54"/>
      <c r="H19" s="24"/>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3"/>
      <c r="AS19" s="8">
        <f t="shared" ref="AS19:AS20" si="5">INT((G19-F19)/7)</f>
        <v>0</v>
      </c>
      <c r="AT19" s="47">
        <f>AS19*$D$40</f>
        <v>0</v>
      </c>
      <c r="AU19" s="49">
        <f>AT19*$D$41</f>
        <v>0</v>
      </c>
    </row>
    <row r="20" spans="3:47" ht="21" customHeight="1">
      <c r="C20" s="28" t="s">
        <v>32</v>
      </c>
      <c r="D20" s="28"/>
      <c r="E20" s="26">
        <v>1</v>
      </c>
      <c r="F20" s="27">
        <v>46109</v>
      </c>
      <c r="G20" s="27">
        <v>46117</v>
      </c>
      <c r="H20" s="24"/>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3"/>
      <c r="AS20" s="8">
        <f t="shared" si="5"/>
        <v>1</v>
      </c>
      <c r="AT20" s="47">
        <f>AS20*$D$40</f>
        <v>3</v>
      </c>
      <c r="AU20" s="49">
        <f>AT20*$D$41</f>
        <v>45</v>
      </c>
    </row>
    <row r="21" spans="3:47" ht="25" customHeight="1">
      <c r="C21" s="54" t="s">
        <v>33</v>
      </c>
      <c r="D21" s="54"/>
      <c r="E21" s="54"/>
      <c r="F21" s="54"/>
      <c r="G21" s="54"/>
      <c r="H21" s="24"/>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3"/>
      <c r="AS21" s="8">
        <f t="shared" ref="AS21:AS22" si="6">INT((G21-F21)/7)</f>
        <v>0</v>
      </c>
      <c r="AT21" s="47">
        <f>AS21*$D$40</f>
        <v>0</v>
      </c>
      <c r="AU21" s="49">
        <f>AT21*$D$41</f>
        <v>0</v>
      </c>
    </row>
    <row r="22" spans="3:47" ht="21" customHeight="1">
      <c r="C22" s="28" t="s">
        <v>34</v>
      </c>
      <c r="D22" s="28"/>
      <c r="E22" s="26">
        <v>1</v>
      </c>
      <c r="F22" s="27">
        <v>46111</v>
      </c>
      <c r="G22" s="27">
        <v>46117</v>
      </c>
      <c r="H22" s="24"/>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3"/>
      <c r="AS22" s="8">
        <f t="shared" si="6"/>
        <v>0</v>
      </c>
      <c r="AT22" s="47">
        <f>AS22*$D$40</f>
        <v>0</v>
      </c>
      <c r="AU22" s="49">
        <f>AT22*$D$41</f>
        <v>0</v>
      </c>
    </row>
    <row r="23" spans="3:47" ht="25" customHeight="1">
      <c r="C23" s="54" t="s">
        <v>35</v>
      </c>
      <c r="D23" s="54"/>
      <c r="E23" s="54"/>
      <c r="F23" s="54"/>
      <c r="G23" s="54"/>
      <c r="H23" s="24"/>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3"/>
      <c r="AS23" s="8">
        <f t="shared" ref="AS23:AS24" si="7">INT((G23-F23)/7)</f>
        <v>0</v>
      </c>
      <c r="AT23" s="47">
        <f>AS23*$D$40</f>
        <v>0</v>
      </c>
      <c r="AU23" s="49">
        <f>AT23*$D$41</f>
        <v>0</v>
      </c>
    </row>
    <row r="24" spans="3:47" ht="21" customHeight="1">
      <c r="C24" s="28" t="s">
        <v>36</v>
      </c>
      <c r="D24" s="28"/>
      <c r="E24" s="26">
        <v>1</v>
      </c>
      <c r="F24" s="27">
        <v>46111</v>
      </c>
      <c r="G24" s="27">
        <v>46117</v>
      </c>
      <c r="H24" s="24"/>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3"/>
      <c r="AS24" s="8">
        <f t="shared" si="7"/>
        <v>0</v>
      </c>
      <c r="AT24" s="47">
        <f>AS24*$D$40</f>
        <v>0</v>
      </c>
      <c r="AU24" s="49">
        <f>AT24*$D$41</f>
        <v>0</v>
      </c>
    </row>
    <row r="25" spans="3:47" ht="25" customHeight="1">
      <c r="C25" s="54" t="s">
        <v>37</v>
      </c>
      <c r="D25" s="54"/>
      <c r="E25" s="54"/>
      <c r="F25" s="54"/>
      <c r="G25" s="54"/>
      <c r="H25" s="24"/>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3"/>
      <c r="AS25" s="8">
        <f t="shared" ref="AS25:AS26" si="8">INT((G25-F25)/7)</f>
        <v>0</v>
      </c>
      <c r="AT25" s="47">
        <f>AS25*$D$40</f>
        <v>0</v>
      </c>
      <c r="AU25" s="49">
        <f>AT25*$D$41</f>
        <v>0</v>
      </c>
    </row>
    <row r="26" spans="3:47" ht="21" customHeight="1">
      <c r="C26" s="28" t="s">
        <v>38</v>
      </c>
      <c r="D26" s="28"/>
      <c r="E26" s="26">
        <v>0.6</v>
      </c>
      <c r="F26" s="27">
        <v>46111</v>
      </c>
      <c r="G26" s="27">
        <v>46142</v>
      </c>
      <c r="H26" s="24"/>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3"/>
      <c r="AS26" s="8">
        <f t="shared" si="8"/>
        <v>4</v>
      </c>
      <c r="AT26" s="47">
        <f>AS26*$D$40</f>
        <v>12</v>
      </c>
      <c r="AU26" s="49">
        <f>AT26*$D$41</f>
        <v>180</v>
      </c>
    </row>
    <row r="27" spans="3:47" ht="25" customHeight="1">
      <c r="C27" s="54" t="s">
        <v>40</v>
      </c>
      <c r="D27" s="54"/>
      <c r="E27" s="54"/>
      <c r="F27" s="54"/>
      <c r="G27" s="54"/>
      <c r="H27" s="24"/>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3"/>
      <c r="AS27" s="8">
        <f t="shared" ref="AS27:AS30" si="9">INT((G27-F27)/7)</f>
        <v>0</v>
      </c>
      <c r="AT27" s="47">
        <f>AS27*$D$40</f>
        <v>0</v>
      </c>
      <c r="AU27" s="49">
        <f>AT27*$D$41</f>
        <v>0</v>
      </c>
    </row>
    <row r="28" spans="3:47" ht="21" customHeight="1">
      <c r="C28" s="28" t="s">
        <v>39</v>
      </c>
      <c r="D28" s="28"/>
      <c r="E28" s="26">
        <v>0.1</v>
      </c>
      <c r="F28" s="27">
        <v>46117</v>
      </c>
      <c r="G28" s="27">
        <v>46142</v>
      </c>
      <c r="H28" s="24"/>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3"/>
      <c r="AS28" s="8">
        <f t="shared" si="9"/>
        <v>3</v>
      </c>
      <c r="AT28" s="47">
        <f>AS28*$D$40</f>
        <v>9</v>
      </c>
      <c r="AU28" s="49">
        <f>AT28*$D$41</f>
        <v>135</v>
      </c>
    </row>
    <row r="29" spans="3:47" ht="25" customHeight="1">
      <c r="C29" s="54" t="s">
        <v>16</v>
      </c>
      <c r="D29" s="54"/>
      <c r="E29" s="54"/>
      <c r="F29" s="54"/>
      <c r="G29" s="54"/>
      <c r="H29" s="24"/>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3"/>
      <c r="AS29" s="8">
        <f t="shared" si="9"/>
        <v>0</v>
      </c>
      <c r="AT29" s="47">
        <f>AS29*$D$40</f>
        <v>0</v>
      </c>
      <c r="AU29" s="49">
        <f>AT29*$D$41</f>
        <v>0</v>
      </c>
    </row>
    <row r="30" spans="3:47" ht="21" customHeight="1">
      <c r="C30" s="28" t="s">
        <v>41</v>
      </c>
      <c r="D30" s="28"/>
      <c r="E30" s="26">
        <v>0</v>
      </c>
      <c r="F30" s="27">
        <v>46127</v>
      </c>
      <c r="G30" s="27">
        <v>46142</v>
      </c>
      <c r="H30" s="24"/>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3"/>
      <c r="AS30" s="8">
        <f t="shared" si="9"/>
        <v>2</v>
      </c>
      <c r="AT30" s="47">
        <f>AS30*$D$40</f>
        <v>6</v>
      </c>
      <c r="AU30" s="49">
        <f>AT30*$D$41</f>
        <v>90</v>
      </c>
    </row>
    <row r="31" spans="3:47" ht="14.4" customHeight="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S31" s="8"/>
      <c r="AT31" s="47"/>
      <c r="AU31" s="49"/>
    </row>
    <row r="32" spans="3:47" ht="14.4" customHeight="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S32" s="8"/>
      <c r="AT32" s="47"/>
      <c r="AU32" s="49"/>
    </row>
    <row r="33" spans="3:47">
      <c r="C33" s="32"/>
      <c r="D33" s="33"/>
      <c r="E33" s="33"/>
      <c r="F33" s="34"/>
      <c r="AS33" s="8"/>
      <c r="AT33" s="47"/>
      <c r="AU33" s="49"/>
    </row>
    <row r="34" spans="3:47" ht="19">
      <c r="C34" s="39"/>
      <c r="D34" s="52"/>
      <c r="E34" s="52"/>
      <c r="F34" s="53"/>
      <c r="AS34" s="45">
        <f>SUM(AS8:AS30)</f>
        <v>17</v>
      </c>
      <c r="AT34" s="48">
        <f>SUM(AT8:AT30)</f>
        <v>51</v>
      </c>
      <c r="AU34" s="50">
        <f>SUM(AU8:AU30)</f>
        <v>765</v>
      </c>
    </row>
    <row r="35" spans="3:47">
      <c r="C35" s="36"/>
      <c r="D35" s="52"/>
      <c r="E35" s="52"/>
      <c r="F35" s="53"/>
    </row>
    <row r="36" spans="3:47">
      <c r="C36" s="36"/>
      <c r="D36" s="52"/>
      <c r="E36" s="52"/>
      <c r="F36" s="53"/>
      <c r="J36" s="2"/>
      <c r="K36" s="2"/>
      <c r="L36" s="2"/>
    </row>
    <row r="37" spans="3:47">
      <c r="C37" s="36"/>
      <c r="D37" s="52"/>
      <c r="E37" s="52"/>
      <c r="F37" s="53"/>
      <c r="J37" s="2"/>
      <c r="K37" s="2"/>
      <c r="L37" s="2"/>
    </row>
    <row r="38" spans="3:47">
      <c r="C38" s="36"/>
      <c r="D38" s="1"/>
      <c r="E38" s="1"/>
      <c r="F38" s="35"/>
      <c r="J38" s="2"/>
      <c r="K38" s="2"/>
      <c r="L38" s="2"/>
    </row>
    <row r="39" spans="3:47">
      <c r="C39" s="36"/>
      <c r="D39" s="1"/>
      <c r="E39" s="1"/>
      <c r="F39" s="35"/>
      <c r="J39" s="2"/>
      <c r="K39" s="2"/>
      <c r="L39" s="2"/>
    </row>
    <row r="40" spans="3:47">
      <c r="C40" s="44" t="s">
        <v>11</v>
      </c>
      <c r="D40" s="40">
        <v>3</v>
      </c>
      <c r="E40" s="31" t="s">
        <v>12</v>
      </c>
      <c r="F40" s="35"/>
      <c r="J40" s="2"/>
      <c r="K40" s="2"/>
      <c r="L40" s="2"/>
    </row>
    <row r="41" spans="3:47">
      <c r="C41" s="44" t="s">
        <v>10</v>
      </c>
      <c r="D41" s="40">
        <v>15</v>
      </c>
      <c r="E41" s="31" t="s">
        <v>8</v>
      </c>
      <c r="F41" s="35"/>
      <c r="J41" s="2"/>
      <c r="K41" s="2"/>
      <c r="L41" s="2"/>
    </row>
    <row r="42" spans="3:47">
      <c r="C42" s="44" t="s">
        <v>9</v>
      </c>
      <c r="D42" s="40">
        <v>25</v>
      </c>
      <c r="E42" s="31" t="s">
        <v>8</v>
      </c>
      <c r="F42" s="41"/>
    </row>
    <row r="43" spans="3:47">
      <c r="C43" s="37"/>
      <c r="D43" s="21"/>
      <c r="E43" s="21"/>
      <c r="F43" s="38"/>
    </row>
  </sheetData>
  <mergeCells count="26">
    <mergeCell ref="AI3:AL3"/>
    <mergeCell ref="AM3:AP3"/>
    <mergeCell ref="I3:L3"/>
    <mergeCell ref="M3:P3"/>
    <mergeCell ref="Q3:T3"/>
    <mergeCell ref="AD3:AG3"/>
    <mergeCell ref="C3:D3"/>
    <mergeCell ref="V3:Y3"/>
    <mergeCell ref="Z3:AC3"/>
    <mergeCell ref="C2:D2"/>
    <mergeCell ref="D34:F34"/>
    <mergeCell ref="D35:F35"/>
    <mergeCell ref="D36:F36"/>
    <mergeCell ref="D37:F37"/>
    <mergeCell ref="C7:G7"/>
    <mergeCell ref="C9:G9"/>
    <mergeCell ref="C11:G11"/>
    <mergeCell ref="C13:G13"/>
    <mergeCell ref="C15:G15"/>
    <mergeCell ref="C17:G17"/>
    <mergeCell ref="C19:G19"/>
    <mergeCell ref="C21:G21"/>
    <mergeCell ref="C23:G23"/>
    <mergeCell ref="C25:G25"/>
    <mergeCell ref="C27:G27"/>
    <mergeCell ref="C29:G29"/>
  </mergeCells>
  <phoneticPr fontId="2" type="noConversion"/>
  <conditionalFormatting sqref="E8">
    <cfRule type="dataBar" priority="147">
      <dataBar>
        <cfvo type="num" val="0"/>
        <cfvo type="num" val="1"/>
        <color theme="8" tint="0.59999389629810485"/>
      </dataBar>
      <extLst>
        <ext xmlns:x14="http://schemas.microsoft.com/office/spreadsheetml/2009/9/main" uri="{B025F937-C7B1-47D3-B67F-A62EFF666E3E}">
          <x14:id>{DE3F0091-12B0-43CE-984E-4536443BEE46}</x14:id>
        </ext>
      </extLst>
    </cfRule>
  </conditionalFormatting>
  <conditionalFormatting sqref="H8:AP8 H10:AP10 AM28:AN28 AG11:AL30 AO11:AP30 AM30:AN30 I11:V30 Y11:AD30 AM26:AN26">
    <cfRule type="expression" dxfId="13" priority="151">
      <formula>AND(H$5&gt;=$F8,H$5&lt;=$G8)</formula>
    </cfRule>
  </conditionalFormatting>
  <conditionalFormatting sqref="I5:AQ7 H8:AQ8 I11:AQ12 I9:AQ9">
    <cfRule type="expression" dxfId="12" priority="154">
      <formula>AND(H$5&lt;=TODAY(), (I$5-7)&lt;=TODAY(),I$5&gt;=TODAY())</formula>
    </cfRule>
  </conditionalFormatting>
  <conditionalFormatting sqref="I8:P8">
    <cfRule type="expression" dxfId="11" priority="142">
      <formula>1*AND(I$5&gt;=task_start,I$5&lt;=task_start+(task_progress*(task_end-task_start+1))-1)</formula>
    </cfRule>
  </conditionalFormatting>
  <conditionalFormatting sqref="E10">
    <cfRule type="dataBar" priority="131">
      <dataBar>
        <cfvo type="num" val="0"/>
        <cfvo type="num" val="1"/>
        <color theme="8" tint="0.59999389629810485"/>
      </dataBar>
      <extLst>
        <ext xmlns:x14="http://schemas.microsoft.com/office/spreadsheetml/2009/9/main" uri="{B025F937-C7B1-47D3-B67F-A62EFF666E3E}">
          <x14:id>{D1A6FF22-CE0B-4A68-A465-8902256CAFCB}</x14:id>
        </ext>
      </extLst>
    </cfRule>
  </conditionalFormatting>
  <conditionalFormatting sqref="H10:AQ10">
    <cfRule type="expression" dxfId="10" priority="133">
      <formula>AND(H$5&lt;=TODAY(), (I$5-7)&lt;=TODAY(),I$5&gt;=TODAY())</formula>
    </cfRule>
  </conditionalFormatting>
  <conditionalFormatting sqref="I10:P10">
    <cfRule type="expression" dxfId="9" priority="130">
      <formula>1*AND(I$5&gt;=task_start,I$5&lt;=task_start+(task_progress*(task_end-task_start+1))-1)</formula>
    </cfRule>
  </conditionalFormatting>
  <conditionalFormatting sqref="I13:AQ14">
    <cfRule type="expression" dxfId="8" priority="115">
      <formula>AND(I$5&lt;=TODAY(), (J$5-7)&lt;=TODAY(),J$5&gt;=TODAY())</formula>
    </cfRule>
  </conditionalFormatting>
  <conditionalFormatting sqref="I15:AQ16">
    <cfRule type="expression" dxfId="7" priority="106">
      <formula>AND(I$5&lt;=TODAY(), (J$5-7)&lt;=TODAY(),J$5&gt;=TODAY())</formula>
    </cfRule>
  </conditionalFormatting>
  <conditionalFormatting sqref="I17:AQ18">
    <cfRule type="expression" dxfId="6" priority="97">
      <formula>AND(I$5&lt;=TODAY(), (J$5-7)&lt;=TODAY(),J$5&gt;=TODAY())</formula>
    </cfRule>
  </conditionalFormatting>
  <conditionalFormatting sqref="I19:AQ20">
    <cfRule type="expression" dxfId="5" priority="88">
      <formula>AND(I$5&lt;=TODAY(), (J$5-7)&lt;=TODAY(),J$5&gt;=TODAY())</formula>
    </cfRule>
  </conditionalFormatting>
  <conditionalFormatting sqref="I21:AQ22">
    <cfRule type="expression" dxfId="4" priority="79">
      <formula>AND(I$5&lt;=TODAY(), (J$5-7)&lt;=TODAY(),J$5&gt;=TODAY())</formula>
    </cfRule>
  </conditionalFormatting>
  <conditionalFormatting sqref="I23:AQ24">
    <cfRule type="expression" dxfId="3" priority="70">
      <formula>AND(I$5&lt;=TODAY(), (J$5-7)&lt;=TODAY(),J$5&gt;=TODAY())</formula>
    </cfRule>
  </conditionalFormatting>
  <conditionalFormatting sqref="I25:AQ26">
    <cfRule type="expression" dxfId="2" priority="61">
      <formula>AND(I$5&lt;=TODAY(), (J$5-7)&lt;=TODAY(),J$5&gt;=TODAY())</formula>
    </cfRule>
  </conditionalFormatting>
  <conditionalFormatting sqref="I27:AQ28">
    <cfRule type="expression" dxfId="1" priority="52">
      <formula>AND(I$5&lt;=TODAY(), (J$5-7)&lt;=TODAY(),J$5&gt;=TODAY())</formula>
    </cfRule>
  </conditionalFormatting>
  <conditionalFormatting sqref="I29:AQ30">
    <cfRule type="expression" dxfId="0" priority="49">
      <formula>AND(I$5&lt;=TODAY(), (J$5-7)&lt;=TODAY(),J$5&gt;=TODAY())</formula>
    </cfRule>
  </conditionalFormatting>
  <conditionalFormatting sqref="E12">
    <cfRule type="dataBar" priority="10">
      <dataBar>
        <cfvo type="num" val="0"/>
        <cfvo type="num" val="1"/>
        <color theme="8" tint="0.59999389629810485"/>
      </dataBar>
      <extLst>
        <ext xmlns:x14="http://schemas.microsoft.com/office/spreadsheetml/2009/9/main" uri="{B025F937-C7B1-47D3-B67F-A62EFF666E3E}">
          <x14:id>{EE3EC280-D80F-44FA-84A6-350F91C54329}</x14:id>
        </ext>
      </extLst>
    </cfRule>
  </conditionalFormatting>
  <conditionalFormatting sqref="E14">
    <cfRule type="dataBar" priority="9">
      <dataBar>
        <cfvo type="num" val="0"/>
        <cfvo type="num" val="1"/>
        <color theme="8" tint="0.59999389629810485"/>
      </dataBar>
      <extLst>
        <ext xmlns:x14="http://schemas.microsoft.com/office/spreadsheetml/2009/9/main" uri="{B025F937-C7B1-47D3-B67F-A62EFF666E3E}">
          <x14:id>{B4202ACA-9038-48D6-A4B1-E3AC1E8A7301}</x14:id>
        </ext>
      </extLst>
    </cfRule>
  </conditionalFormatting>
  <conditionalFormatting sqref="E16">
    <cfRule type="dataBar" priority="8">
      <dataBar>
        <cfvo type="num" val="0"/>
        <cfvo type="num" val="1"/>
        <color theme="8" tint="0.59999389629810485"/>
      </dataBar>
      <extLst>
        <ext xmlns:x14="http://schemas.microsoft.com/office/spreadsheetml/2009/9/main" uri="{B025F937-C7B1-47D3-B67F-A62EFF666E3E}">
          <x14:id>{1D5B30C1-6215-450D-A91C-06B8687F30C2}</x14:id>
        </ext>
      </extLst>
    </cfRule>
  </conditionalFormatting>
  <conditionalFormatting sqref="E18">
    <cfRule type="dataBar" priority="7">
      <dataBar>
        <cfvo type="num" val="0"/>
        <cfvo type="num" val="1"/>
        <color theme="8" tint="0.59999389629810485"/>
      </dataBar>
      <extLst>
        <ext xmlns:x14="http://schemas.microsoft.com/office/spreadsheetml/2009/9/main" uri="{B025F937-C7B1-47D3-B67F-A62EFF666E3E}">
          <x14:id>{FED5924A-D3D9-48E5-B234-135A0AD9E607}</x14:id>
        </ext>
      </extLst>
    </cfRule>
  </conditionalFormatting>
  <conditionalFormatting sqref="E20">
    <cfRule type="dataBar" priority="6">
      <dataBar>
        <cfvo type="num" val="0"/>
        <cfvo type="num" val="1"/>
        <color theme="8" tint="0.59999389629810485"/>
      </dataBar>
      <extLst>
        <ext xmlns:x14="http://schemas.microsoft.com/office/spreadsheetml/2009/9/main" uri="{B025F937-C7B1-47D3-B67F-A62EFF666E3E}">
          <x14:id>{CC129F11-E9BC-431A-9EE2-9232B041FB47}</x14:id>
        </ext>
      </extLst>
    </cfRule>
  </conditionalFormatting>
  <conditionalFormatting sqref="E22">
    <cfRule type="dataBar" priority="5">
      <dataBar>
        <cfvo type="num" val="0"/>
        <cfvo type="num" val="1"/>
        <color theme="8" tint="0.59999389629810485"/>
      </dataBar>
      <extLst>
        <ext xmlns:x14="http://schemas.microsoft.com/office/spreadsheetml/2009/9/main" uri="{B025F937-C7B1-47D3-B67F-A62EFF666E3E}">
          <x14:id>{40EAD766-EB3F-4DB6-9EDA-6232F95BEEFD}</x14:id>
        </ext>
      </extLst>
    </cfRule>
  </conditionalFormatting>
  <conditionalFormatting sqref="E24">
    <cfRule type="dataBar" priority="4">
      <dataBar>
        <cfvo type="num" val="0"/>
        <cfvo type="num" val="1"/>
        <color theme="8" tint="0.59999389629810485"/>
      </dataBar>
      <extLst>
        <ext xmlns:x14="http://schemas.microsoft.com/office/spreadsheetml/2009/9/main" uri="{B025F937-C7B1-47D3-B67F-A62EFF666E3E}">
          <x14:id>{7BB2DEBB-2A45-45CA-9E09-D385737D25C7}</x14:id>
        </ext>
      </extLst>
    </cfRule>
  </conditionalFormatting>
  <conditionalFormatting sqref="E26">
    <cfRule type="dataBar" priority="3">
      <dataBar>
        <cfvo type="num" val="0"/>
        <cfvo type="num" val="1"/>
        <color theme="8" tint="0.59999389629810485"/>
      </dataBar>
      <extLst>
        <ext xmlns:x14="http://schemas.microsoft.com/office/spreadsheetml/2009/9/main" uri="{B025F937-C7B1-47D3-B67F-A62EFF666E3E}">
          <x14:id>{AED4654B-504B-48DE-98CD-035AFB8319DC}</x14:id>
        </ext>
      </extLst>
    </cfRule>
  </conditionalFormatting>
  <conditionalFormatting sqref="E28">
    <cfRule type="dataBar" priority="2">
      <dataBar>
        <cfvo type="num" val="0"/>
        <cfvo type="num" val="1"/>
        <color theme="8" tint="0.59999389629810485"/>
      </dataBar>
      <extLst>
        <ext xmlns:x14="http://schemas.microsoft.com/office/spreadsheetml/2009/9/main" uri="{B025F937-C7B1-47D3-B67F-A62EFF666E3E}">
          <x14:id>{8D1D418A-1BD7-4919-87AB-85B3D204C69D}</x14:id>
        </ext>
      </extLst>
    </cfRule>
  </conditionalFormatting>
  <conditionalFormatting sqref="E30">
    <cfRule type="dataBar" priority="1">
      <dataBar>
        <cfvo type="num" val="0"/>
        <cfvo type="num" val="1"/>
        <color theme="8" tint="0.59999389629810485"/>
      </dataBar>
      <extLst>
        <ext xmlns:x14="http://schemas.microsoft.com/office/spreadsheetml/2009/9/main" uri="{B025F937-C7B1-47D3-B67F-A62EFF666E3E}">
          <x14:id>{4E1D0C49-787F-40ED-A61B-4870954F2173}</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DE3F0091-12B0-43CE-984E-4536443BEE46}">
            <x14:dataBar minLength="0" maxLength="100" border="1" gradient="0">
              <x14:cfvo type="num">
                <xm:f>0</xm:f>
              </x14:cfvo>
              <x14:cfvo type="num">
                <xm:f>1</xm:f>
              </x14:cfvo>
              <x14:borderColor theme="0"/>
              <x14:negativeFillColor rgb="FFFF0000"/>
              <x14:axisColor rgb="FF000000"/>
            </x14:dataBar>
          </x14:cfRule>
          <xm:sqref>E8</xm:sqref>
        </x14:conditionalFormatting>
        <x14:conditionalFormatting xmlns:xm="http://schemas.microsoft.com/office/excel/2006/main">
          <x14:cfRule type="dataBar" id="{D1A6FF22-CE0B-4A68-A465-8902256CAFCB}">
            <x14:dataBar minLength="0" maxLength="100" border="1" gradient="0">
              <x14:cfvo type="num">
                <xm:f>0</xm:f>
              </x14:cfvo>
              <x14:cfvo type="num">
                <xm:f>1</xm:f>
              </x14:cfvo>
              <x14:borderColor theme="0"/>
              <x14:negativeFillColor rgb="FFFF0000"/>
              <x14:axisColor rgb="FF000000"/>
            </x14:dataBar>
          </x14:cfRule>
          <xm:sqref>E10</xm:sqref>
        </x14:conditionalFormatting>
        <x14:conditionalFormatting xmlns:xm="http://schemas.microsoft.com/office/excel/2006/main">
          <x14:cfRule type="dataBar" id="{EE3EC280-D80F-44FA-84A6-350F91C54329}">
            <x14:dataBar minLength="0" maxLength="100" border="1" gradient="0">
              <x14:cfvo type="num">
                <xm:f>0</xm:f>
              </x14:cfvo>
              <x14:cfvo type="num">
                <xm:f>1</xm:f>
              </x14:cfvo>
              <x14:borderColor theme="0"/>
              <x14:negativeFillColor rgb="FFFF0000"/>
              <x14:axisColor rgb="FF000000"/>
            </x14:dataBar>
          </x14:cfRule>
          <xm:sqref>E12</xm:sqref>
        </x14:conditionalFormatting>
        <x14:conditionalFormatting xmlns:xm="http://schemas.microsoft.com/office/excel/2006/main">
          <x14:cfRule type="dataBar" id="{B4202ACA-9038-48D6-A4B1-E3AC1E8A7301}">
            <x14:dataBar minLength="0" maxLength="100" border="1" gradient="0">
              <x14:cfvo type="num">
                <xm:f>0</xm:f>
              </x14:cfvo>
              <x14:cfvo type="num">
                <xm:f>1</xm:f>
              </x14:cfvo>
              <x14:borderColor theme="0"/>
              <x14:negativeFillColor rgb="FFFF0000"/>
              <x14:axisColor rgb="FF000000"/>
            </x14:dataBar>
          </x14:cfRule>
          <xm:sqref>E14</xm:sqref>
        </x14:conditionalFormatting>
        <x14:conditionalFormatting xmlns:xm="http://schemas.microsoft.com/office/excel/2006/main">
          <x14:cfRule type="dataBar" id="{1D5B30C1-6215-450D-A91C-06B8687F30C2}">
            <x14:dataBar minLength="0" maxLength="100" border="1" gradient="0">
              <x14:cfvo type="num">
                <xm:f>0</xm:f>
              </x14:cfvo>
              <x14:cfvo type="num">
                <xm:f>1</xm:f>
              </x14:cfvo>
              <x14:borderColor theme="0"/>
              <x14:negativeFillColor rgb="FFFF0000"/>
              <x14:axisColor rgb="FF000000"/>
            </x14:dataBar>
          </x14:cfRule>
          <xm:sqref>E16</xm:sqref>
        </x14:conditionalFormatting>
        <x14:conditionalFormatting xmlns:xm="http://schemas.microsoft.com/office/excel/2006/main">
          <x14:cfRule type="dataBar" id="{FED5924A-D3D9-48E5-B234-135A0AD9E607}">
            <x14:dataBar minLength="0" maxLength="100" border="1" gradient="0">
              <x14:cfvo type="num">
                <xm:f>0</xm:f>
              </x14:cfvo>
              <x14:cfvo type="num">
                <xm:f>1</xm:f>
              </x14:cfvo>
              <x14:borderColor theme="0"/>
              <x14:negativeFillColor rgb="FFFF0000"/>
              <x14:axisColor rgb="FF000000"/>
            </x14:dataBar>
          </x14:cfRule>
          <xm:sqref>E18</xm:sqref>
        </x14:conditionalFormatting>
        <x14:conditionalFormatting xmlns:xm="http://schemas.microsoft.com/office/excel/2006/main">
          <x14:cfRule type="dataBar" id="{CC129F11-E9BC-431A-9EE2-9232B041FB47}">
            <x14:dataBar minLength="0" maxLength="100" border="1" gradient="0">
              <x14:cfvo type="num">
                <xm:f>0</xm:f>
              </x14:cfvo>
              <x14:cfvo type="num">
                <xm:f>1</xm:f>
              </x14:cfvo>
              <x14:borderColor theme="0"/>
              <x14:negativeFillColor rgb="FFFF0000"/>
              <x14:axisColor rgb="FF000000"/>
            </x14:dataBar>
          </x14:cfRule>
          <xm:sqref>E20</xm:sqref>
        </x14:conditionalFormatting>
        <x14:conditionalFormatting xmlns:xm="http://schemas.microsoft.com/office/excel/2006/main">
          <x14:cfRule type="dataBar" id="{40EAD766-EB3F-4DB6-9EDA-6232F95BEEFD}">
            <x14:dataBar minLength="0" maxLength="100" border="1" gradient="0">
              <x14:cfvo type="num">
                <xm:f>0</xm:f>
              </x14:cfvo>
              <x14:cfvo type="num">
                <xm:f>1</xm:f>
              </x14:cfvo>
              <x14:borderColor theme="0"/>
              <x14:negativeFillColor rgb="FFFF0000"/>
              <x14:axisColor rgb="FF000000"/>
            </x14:dataBar>
          </x14:cfRule>
          <xm:sqref>E22</xm:sqref>
        </x14:conditionalFormatting>
        <x14:conditionalFormatting xmlns:xm="http://schemas.microsoft.com/office/excel/2006/main">
          <x14:cfRule type="dataBar" id="{7BB2DEBB-2A45-45CA-9E09-D385737D25C7}">
            <x14:dataBar minLength="0" maxLength="100" border="1" gradient="0">
              <x14:cfvo type="num">
                <xm:f>0</xm:f>
              </x14:cfvo>
              <x14:cfvo type="num">
                <xm:f>1</xm:f>
              </x14:cfvo>
              <x14:borderColor theme="0"/>
              <x14:negativeFillColor rgb="FFFF0000"/>
              <x14:axisColor rgb="FF000000"/>
            </x14:dataBar>
          </x14:cfRule>
          <xm:sqref>E24</xm:sqref>
        </x14:conditionalFormatting>
        <x14:conditionalFormatting xmlns:xm="http://schemas.microsoft.com/office/excel/2006/main">
          <x14:cfRule type="dataBar" id="{AED4654B-504B-48DE-98CD-035AFB8319DC}">
            <x14:dataBar minLength="0" maxLength="100" border="1" gradient="0">
              <x14:cfvo type="num">
                <xm:f>0</xm:f>
              </x14:cfvo>
              <x14:cfvo type="num">
                <xm:f>1</xm:f>
              </x14:cfvo>
              <x14:borderColor theme="0"/>
              <x14:negativeFillColor rgb="FFFF0000"/>
              <x14:axisColor rgb="FF000000"/>
            </x14:dataBar>
          </x14:cfRule>
          <xm:sqref>E26</xm:sqref>
        </x14:conditionalFormatting>
        <x14:conditionalFormatting xmlns:xm="http://schemas.microsoft.com/office/excel/2006/main">
          <x14:cfRule type="dataBar" id="{8D1D418A-1BD7-4919-87AB-85B3D204C69D}">
            <x14:dataBar minLength="0" maxLength="100" border="1" gradient="0">
              <x14:cfvo type="num">
                <xm:f>0</xm:f>
              </x14:cfvo>
              <x14:cfvo type="num">
                <xm:f>1</xm:f>
              </x14:cfvo>
              <x14:borderColor theme="0"/>
              <x14:negativeFillColor rgb="FFFF0000"/>
              <x14:axisColor rgb="FF000000"/>
            </x14:dataBar>
          </x14:cfRule>
          <xm:sqref>E28</xm:sqref>
        </x14:conditionalFormatting>
        <x14:conditionalFormatting xmlns:xm="http://schemas.microsoft.com/office/excel/2006/main">
          <x14:cfRule type="dataBar" id="{4E1D0C49-787F-40ED-A61B-4870954F2173}">
            <x14:dataBar minLength="0" maxLength="100" border="1" gradient="0">
              <x14:cfvo type="num">
                <xm:f>0</xm:f>
              </x14:cfvo>
              <x14:cfvo type="num">
                <xm:f>1</xm:f>
              </x14:cfvo>
              <x14:borderColor theme="0"/>
              <x14:negativeFillColor rgb="FFFF0000"/>
              <x14:axisColor rgb="FF000000"/>
            </x14:dataBar>
          </x14:cfRule>
          <xm:sqref>E30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3</vt:i4>
      </vt:variant>
    </vt:vector>
  </HeadingPairs>
  <TitlesOfParts>
    <vt:vector size="4" baseType="lpstr">
      <vt:lpstr>Sheet1</vt:lpstr>
      <vt:lpstr>Sheet1!task_end</vt:lpstr>
      <vt:lpstr>Sheet1!task_progress</vt:lpstr>
      <vt:lpstr>Sheet1!task_start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Canali</dc:creator>
  <cp:lastModifiedBy>Utente</cp:lastModifiedBy>
  <dcterms:created xsi:type="dcterms:W3CDTF">2025-10-22T05:40:21Z</dcterms:created>
  <dcterms:modified xsi:type="dcterms:W3CDTF">2026-04-21T14:51:06Z</dcterms:modified>
</cp:coreProperties>
</file>