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19200" windowHeight="6930"/>
  </bookViews>
  <sheets>
    <sheet name="PianificazioneProgetto" sheetId="11" r:id="rId1"/>
  </sheets>
  <definedNames>
    <definedName name="avanzamento_attività" localSheetId="0">PianificazioneProgetto!$D1</definedName>
    <definedName name="fine_attività" localSheetId="0">PianificazioneProgetto!$F1</definedName>
    <definedName name="Inizio_attività" localSheetId="0">PianificazioneProgetto!$E1</definedName>
    <definedName name="Inizio_progetto">PianificazioneProgetto!$E$2</definedName>
    <definedName name="oggi" localSheetId="0">TODAY()</definedName>
    <definedName name="_xlnm.Print_Titles" localSheetId="0">PianificazioneProgetto!$3:$5</definedName>
    <definedName name="Visualizza_settimana">PianificazioneProgetto!$E$3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0" i="11" l="1"/>
  <c r="C89" i="11"/>
  <c r="H36" i="11" l="1"/>
  <c r="H37" i="11"/>
  <c r="H38" i="11"/>
  <c r="H39" i="11"/>
  <c r="H40" i="11"/>
  <c r="H41" i="11"/>
  <c r="H42" i="11"/>
  <c r="H43" i="11"/>
  <c r="H50" i="11"/>
  <c r="H55" i="11"/>
  <c r="H57" i="11"/>
  <c r="H58" i="11"/>
  <c r="H59" i="11"/>
  <c r="H60" i="11"/>
  <c r="H61" i="11"/>
  <c r="H62" i="11"/>
  <c r="H63" i="11"/>
  <c r="H64" i="11"/>
  <c r="H65" i="11"/>
  <c r="H66" i="11"/>
  <c r="H67" i="11"/>
  <c r="H68" i="11"/>
  <c r="H69" i="11"/>
  <c r="H70" i="11"/>
  <c r="H71" i="11"/>
  <c r="H78" i="11"/>
  <c r="H81" i="11"/>
  <c r="H82" i="11"/>
  <c r="H83" i="11"/>
  <c r="H84" i="11"/>
  <c r="H85" i="11"/>
  <c r="H6" i="11"/>
  <c r="H51" i="11" l="1"/>
  <c r="H72" i="11"/>
  <c r="H44" i="11"/>
  <c r="H80" i="11" l="1"/>
  <c r="H79" i="11"/>
  <c r="H45" i="11"/>
  <c r="H52" i="11"/>
  <c r="H22" i="11"/>
  <c r="I4" i="11"/>
  <c r="I5" i="11" s="1"/>
  <c r="H35" i="11"/>
  <c r="H31" i="11"/>
  <c r="H30" i="11"/>
  <c r="H29" i="11"/>
  <c r="H27" i="11"/>
  <c r="H21" i="11"/>
  <c r="H20" i="11"/>
  <c r="H14" i="11"/>
  <c r="H7" i="11"/>
  <c r="H73" i="11" l="1"/>
  <c r="H74" i="11"/>
  <c r="H46" i="11"/>
  <c r="H53" i="11"/>
  <c r="H56" i="11"/>
  <c r="H75" i="11"/>
  <c r="H47" i="11"/>
  <c r="H8" i="11"/>
  <c r="H54" i="11" l="1"/>
  <c r="H76" i="11"/>
  <c r="H48" i="11"/>
  <c r="H28" i="11"/>
  <c r="H26" i="11"/>
  <c r="H9" i="11"/>
  <c r="H23" i="11"/>
  <c r="H15" i="11"/>
  <c r="H12" i="11"/>
  <c r="J4" i="11"/>
  <c r="H77" i="11" l="1"/>
  <c r="H49" i="11"/>
  <c r="K4" i="11"/>
  <c r="L4" i="11" l="1"/>
  <c r="M4" i="11" l="1"/>
  <c r="N4" i="11" l="1"/>
  <c r="O4" i="11" l="1"/>
  <c r="P4" i="11" l="1"/>
  <c r="P5" i="11" s="1"/>
  <c r="O5" i="11"/>
  <c r="N5" i="11"/>
  <c r="M5" i="11"/>
  <c r="L5" i="11"/>
  <c r="K5" i="11"/>
  <c r="J5" i="11"/>
  <c r="I3" i="11"/>
  <c r="H24" i="11" l="1"/>
  <c r="H16" i="11"/>
  <c r="H10" i="11"/>
  <c r="H11" i="11"/>
  <c r="P3" i="11"/>
  <c r="Q4" i="11"/>
  <c r="R4" i="11" l="1"/>
  <c r="S4" i="11" l="1"/>
  <c r="T4" i="11" l="1"/>
  <c r="U4" i="11" l="1"/>
  <c r="V4" i="11" l="1"/>
  <c r="W4" i="11" l="1"/>
  <c r="W5" i="11" s="1"/>
  <c r="V5" i="11"/>
  <c r="U5" i="11"/>
  <c r="T5" i="11"/>
  <c r="S5" i="11"/>
  <c r="R5" i="11"/>
  <c r="Q5" i="11"/>
  <c r="H19" i="11"/>
  <c r="H18" i="11"/>
  <c r="H17" i="11"/>
  <c r="X4" i="11" l="1"/>
  <c r="Y4" i="11" s="1"/>
  <c r="W3" i="11"/>
  <c r="Z4" i="11" l="1"/>
  <c r="AA4" i="11" l="1"/>
  <c r="AB4" i="11" l="1"/>
  <c r="AC4" i="11" l="1"/>
  <c r="AD4" i="11" l="1"/>
  <c r="AD5" i="11" s="1"/>
  <c r="AC5" i="11"/>
  <c r="AB5" i="11"/>
  <c r="AA5" i="11"/>
  <c r="Z5" i="11"/>
  <c r="Y5" i="11"/>
  <c r="X5" i="11"/>
  <c r="AE4" i="11" l="1"/>
  <c r="AF4" i="11"/>
  <c r="AG4" i="11" l="1"/>
  <c r="AH4" i="11" l="1"/>
  <c r="AI4" i="11" l="1"/>
  <c r="AJ4" i="11" l="1"/>
  <c r="AJ5" i="11" s="1"/>
  <c r="AI5" i="11"/>
  <c r="AH5" i="11"/>
  <c r="AG5" i="11"/>
  <c r="AF5" i="11"/>
  <c r="AE5" i="11"/>
  <c r="AD3" i="11"/>
  <c r="AK4" i="11" l="1"/>
  <c r="AL4" i="11" l="1"/>
  <c r="AM4" i="11" l="1"/>
  <c r="AN4" i="11" l="1"/>
  <c r="AO4" i="11" l="1"/>
  <c r="AP4" i="11" l="1"/>
  <c r="AQ4" i="11" l="1"/>
  <c r="AQ5" i="11" s="1"/>
  <c r="AP5" i="11"/>
  <c r="AO5" i="11"/>
  <c r="AN5" i="11"/>
  <c r="AM5" i="11"/>
  <c r="AL5" i="11"/>
  <c r="AK5" i="11"/>
  <c r="AR4" i="11" l="1"/>
  <c r="AR5" i="11" s="1"/>
  <c r="AK3" i="11"/>
  <c r="AS4" i="11" l="1"/>
  <c r="AS5" i="11" s="1"/>
  <c r="AR3" i="11"/>
  <c r="AT4" i="11" l="1"/>
  <c r="AT5" i="11" s="1"/>
  <c r="AU4" i="11" l="1"/>
  <c r="AU5" i="11" s="1"/>
  <c r="AV4" i="11" l="1"/>
  <c r="AV5" i="11" s="1"/>
  <c r="AW4" i="11" l="1"/>
  <c r="AW5" i="11" s="1"/>
  <c r="AX4" i="11" l="1"/>
  <c r="AX5" i="11" s="1"/>
  <c r="AY4" i="11"/>
  <c r="AY5" i="11" s="1"/>
  <c r="AY3" i="11" l="1"/>
  <c r="AZ4" i="11"/>
  <c r="AZ5" i="11" s="1"/>
  <c r="BA4" i="11" l="1"/>
  <c r="BA5" i="11" s="1"/>
  <c r="BB4" i="11" l="1"/>
  <c r="BB5" i="11" s="1"/>
  <c r="BC4" i="11" l="1"/>
  <c r="BC5" i="11" s="1"/>
  <c r="BD4" i="11" l="1"/>
  <c r="BD5" i="11" s="1"/>
  <c r="BE4" i="11" l="1"/>
  <c r="BE5" i="11" s="1"/>
  <c r="BF4" i="11" l="1"/>
  <c r="BF5" i="11" s="1"/>
  <c r="BF3" i="11" l="1"/>
  <c r="BG4" i="11"/>
  <c r="BG5" i="11" s="1"/>
  <c r="BH4" i="11"/>
  <c r="BH5" i="11" s="1"/>
  <c r="BI4" i="11" l="1"/>
  <c r="BI5" i="11" s="1"/>
  <c r="BJ4" i="11" l="1"/>
  <c r="BJ5" i="11" s="1"/>
  <c r="BK4" i="11" l="1"/>
  <c r="BK5" i="11" s="1"/>
  <c r="BL4" i="11" l="1"/>
  <c r="BL5" i="11" s="1"/>
</calcChain>
</file>

<file path=xl/sharedStrings.xml><?xml version="1.0" encoding="utf-8"?>
<sst xmlns="http://schemas.openxmlformats.org/spreadsheetml/2006/main" count="180" uniqueCount="110">
  <si>
    <t>Come creare la pianificazione di un progetto in questo foglio di lavoro.
Immettere il titolo del progetto nella cella B1. 
Le informazioni su come usare questo foglio di lavoro, con istruzioni per le utilità per la lettura dello schermo e l'autore della cartella di lavoro, si trovano nel foglio di lavoro Informazioni.
Continuare a spostarsi verso il basso nella colonna A per ascoltare altre istruzioni.</t>
  </si>
  <si>
    <t>QPE GANTT</t>
  </si>
  <si>
    <t>Immettere il nome del Responsabile di progetto nella cella B3. Immettere la data di inizio del progetto nella cella E3. Inizio progetto: l’etichetta si trova nella cella C3.</t>
  </si>
  <si>
    <t>Manuel Fanti</t>
  </si>
  <si>
    <t>Inizio progetto:</t>
  </si>
  <si>
    <t>Visualizzazione settimana nella cella E4 rappresenta la settimana iniziale da visualizzare nella pianificazione del progetto nella cella I4. La data di inizio del progetto è la Settimana 1. Per cambiare la visualizzazione della settimana, è sufficiente immettere un diverso numero di settimana nella cella E4.
La data di inizio di ogni settimana, a partire dalla settimana indicata nella cella E4, inizia nella cella I4 e viene calcolata automaticamente. Sono disponibili 8 settimane in questa visualizzazione: dalla cella I4 alla cella BF4.
Queste celle non si dovrebbero modificare.
L'etichetta Visualizza settimana: si trova nella cella C4.</t>
  </si>
  <si>
    <t>Visualizza settimana:</t>
  </si>
  <si>
    <t>Le celle da I5 a BL5 contengono il numero dei giorni delle settimane rappresentate nei blocchi superiori e vengono calcolati automaticamente.
Queste celle non si dovrebbero modificare.
La data corrente viene indicata in rosso (esadecimale AD3815) a partire dalla data odierna nella riga 5 per l’intera colonna di date fino alla fine della pianificazione del progetto.</t>
  </si>
  <si>
    <t>Questa riga contiene le intestazioni per la pianificazione di progetto che segue. 
Spostarsi da B6 a BL 6 per ascoltare il contenuto. La prima lettera di ogni giorno della settimana indicata nell’intestazione, inizia nella cella I6 e continua fino alla cella BL6.
I grafici con la sequenza temporale di progetto vengono generati automaticamente in base alle date di inizio e di fine immesse, usando i formati condizionali.
Non modificare il contenuto delle celle delle colonne dopo la colonna I a partire dalla cella I7.</t>
  </si>
  <si>
    <t>ATTIVITÀ</t>
  </si>
  <si>
    <t>ASSEGANZIONE</t>
  </si>
  <si>
    <t>AVANZAMENTO</t>
  </si>
  <si>
    <t>INIZIO</t>
  </si>
  <si>
    <t>FINE</t>
  </si>
  <si>
    <t>GIORNI</t>
  </si>
  <si>
    <t xml:space="preserve">Non eliminare questa riga. Questa riga è nascosta per proteggere una formula usata per evidenziare il giorno corrente all’interno della pianificazione di progetto. </t>
  </si>
  <si>
    <t>La cella B8 contiene il titolo di esempio della Fase 1. 
Immettere un nuovo titolo nella cella B8.
Immettere il nome della persona a cui assegnare la fase nella cella C8, se pertinente al progetto.
Immettere lo stato di avanzamento per l’intera fase nella cella D8, se pertinente al progetto.
Immettere la data di inizio e di fine dell’intera fase nelle celle E8 e F8, se pertinente al progetto. 
Il diagramma di Gantt immetterà automaticamente le date appropriate e applicherà l'ombreggiatura a seconda dello stato.
Per eliminare la fase e utilizzare solo le attività, è sufficiente eliminare la riga corrente.</t>
  </si>
  <si>
    <t>FASE 1 — Avvio e documentazione (marzo 2026, settimana 1)</t>
  </si>
  <si>
    <t xml:space="preserve">La cella B9 contiene l'attività di esempio "Attività 1". 
Immettere un nuovo nome per l’attività nella cella B9.
Immettere il nome della persona a cui assegnare l'attività nella cella C9.
Immettere lo stato di avanzamento dell'attività nella cella D9. Una barra di stato viene visualizzata nella cella ed è ombreggiata in base allo stato di avanzamento. Ad esempio, lo stato di avanzamento pari al 50% applicherà l'ombreggiatura a metà della cella.
Immettere la data di inizio dell’attività nella cella E9.
Immettere la data di fine dell’attività nella cella F9.
Viene visualizzata una barra di stato ombreggiata in blocchi per le date immesse, a partire dalla cella I9 fino alla BL9. </t>
  </si>
  <si>
    <t>Studio di fattibilità</t>
  </si>
  <si>
    <t>Dalla riga 10 alla 13 è ripetuto lo schema della riga 9. 
Ripetere le istruzioni della cella A9 per tutte le righe di attività nel foglio di lavoro. Sovrascrivere i dati di esempio.
L’esempio di un'altra fase inizia nella cella A14. 
Continuare a immettere le attività nelle celle da A10 a A13 o passare alla cella A14 per altre informazioni.</t>
  </si>
  <si>
    <t>Requisiti funzionali RF01–RF08</t>
  </si>
  <si>
    <t>Requisiti non funzionali RNF01–RNF08</t>
  </si>
  <si>
    <t>Analisi economica (BEP, ROI, Payback, VAN, TIR)</t>
  </si>
  <si>
    <t>Piano di project management (SMART, team, rischi, KPI)</t>
  </si>
  <si>
    <t>Setup repository GitHub (struttura, LICENSE, README base)</t>
  </si>
  <si>
    <t>La cella a destra contiene il titolo di esempio della Fase 2. 
È possibile creare una nuova fase in qualsiasi momento nella colonna B. Questa pianificazione di progetto non richiede fasi. Per rimuovere la fase, è sufficiente eliminare la riga.
Per creare un blocco di fase in questa riga, immettere un nuovo titolo nella cella a destra.
Per continuare ad aggiungere attività alla fase precedente, immettere una nuova riga sopra a questa e inserire i dati delle attività seguendo le istruzioni della cella A9.
Aggiornare i dettagli della fase nella cella a destra sulla base delle istruzioni della cella A8.
Spostarsi verso il basso nelle celle della colonna A per altre informazioni.
Se non sono state aggiunte nuove righe al foglio di lavoro, sono disponibili 2 ulteriori blocchi di esempio nelle celle B20 e B26. In caso contrario, spostarsi lungo le celle della colonna A per ulteriori blocchi. 
Ripetere le istruzioni delle celle A8 e A9 se necessario.</t>
  </si>
  <si>
    <t>FASE 2 — Infrastruttura base (marzo 2026, settimana 1-2)</t>
  </si>
  <si>
    <t>Inizializzazione React + Vite + Firebase</t>
  </si>
  <si>
    <t>Firebase Authentication (email/password + Google OAuth)</t>
  </si>
  <si>
    <t>Firestore: struttura dati utenti e profili</t>
  </si>
  <si>
    <t>Variabili d'ambiente e sicurezza chiavi API</t>
  </si>
  <si>
    <t>Regole Firestore base</t>
  </si>
  <si>
    <t>Esempio di blocco con titolo di fase</t>
  </si>
  <si>
    <t>FASE 3 — GDPR e Privacy (marzo 2026, settimana 2)</t>
  </si>
  <si>
    <t>Cookie Banner con 3 livelli di consenso</t>
  </si>
  <si>
    <t>Privacy Policy</t>
  </si>
  <si>
    <t>Cookie Policy</t>
  </si>
  <si>
    <t>Export dati personali (Art. 20)</t>
  </si>
  <si>
    <t>Eliminazione account (Art. 17)</t>
  </si>
  <si>
    <t>Documentazione GDPR in docs/cookies_gdpr/</t>
  </si>
  <si>
    <t>FASE 4 — Funzionalità core sondaggi (marzo–aprile 2026, settimana 3-4)</t>
  </si>
  <si>
    <t>Creazione sondaggio (preview live, color picker, hashtag)</t>
  </si>
  <si>
    <t>Pagina voto coupé a schermo intero</t>
  </si>
  <si>
    <t>Sistema risultati (percentuali, barre, zero bias)</t>
  </si>
  <si>
    <t>Annullamento voto</t>
  </si>
  <si>
    <t>Sistema like</t>
  </si>
  <si>
    <t>Commenti e risposte annidate</t>
  </si>
  <si>
    <t>Statistiche autore</t>
  </si>
  <si>
    <t>Modifica ed eliminazione sondaggio</t>
  </si>
  <si>
    <t>Questa riga indica la fine della Pianificazione del progetto. NON immettere dati in questa riga. 
È possibile inserire nuove righe SOPRA per continuare a costruire la pianificazione del progetto.</t>
  </si>
  <si>
    <t>FASE 5 — Feed e navigazione (aprile 2026, settimana 1)</t>
  </si>
  <si>
    <t>Home feed dinamico con Firestore</t>
  </si>
  <si>
    <t>Tab Per te / Seguiti / Tendenze</t>
  </si>
  <si>
    <t>Filtro per hashtag</t>
  </si>
  <si>
    <t>Cache tab con invalidazione</t>
  </si>
  <si>
    <t>Skeleton loading e stati vuoti</t>
  </si>
  <si>
    <t>BottomNav mobile + header sticky</t>
  </si>
  <si>
    <t>FASE 6 — Profilo e sociale (aprile 2026, settimana 1)</t>
  </si>
  <si>
    <t>Profilo personale con statistiche</t>
  </si>
  <si>
    <t>Upload avatar con compressione</t>
  </si>
  <si>
    <t>Follow/Unfollow con notifica</t>
  </si>
  <si>
    <t>Profili pubblici (/u/:uid)</t>
  </si>
  <si>
    <t>Ricerca utenti e sondaggi</t>
  </si>
  <si>
    <t>Messaggi diretti (DM) in tempo reale</t>
  </si>
  <si>
    <t>FASE 7 — Notifiche e push (aprile 2026, settimana 1-2)</t>
  </si>
  <si>
    <t>Notifiche in-app real-time (follow, voto, like, commento)</t>
  </si>
  <si>
    <t>Badge non letti su BottomNav e header</t>
  </si>
  <si>
    <t>Firebase Cloud Messaging (push)</t>
  </si>
  <si>
    <t>Cloud Functions: sendPushOnNotification</t>
  </si>
  <si>
    <t>Primo deploy Firebase Hosting</t>
  </si>
  <si>
    <t>FASE 8 — UI/UX avanzata (aprile 2026, settimana 2)</t>
  </si>
  <si>
    <t>Tema chiaro warm sand</t>
  </si>
  <si>
    <t>Rilevamento system preference</t>
  </si>
  <si>
    <t>Toggle manuale tema con localStorage</t>
  </si>
  <si>
    <t>Toast notifications</t>
  </si>
  <si>
    <t>Animazioni stagger e transizioni pagina</t>
  </si>
  <si>
    <t>Layout responsive tablet/desktop</t>
  </si>
  <si>
    <t>FASE 9 — Feature avanzate (aprile 2026, settimana 2)</t>
  </si>
  <si>
    <t>Reel view scroll-snap verticale (/reel)</t>
  </si>
  <si>
    <t>Algoritmo "Per te" con scoring</t>
  </si>
  <si>
    <t>Profili privati e approvazione follow</t>
  </si>
  <si>
    <t>Accept/Reject richieste follow in Notifiche</t>
  </si>
  <si>
    <t>Badge ✓ votato sulle card del feed</t>
  </si>
  <si>
    <t>Vista autore con percentuali senza voto</t>
  </si>
  <si>
    <t>FASE 10 — Moderazione e sicurezza (aprile 2026, settimana 2)</t>
  </si>
  <si>
    <t>Bot moderazione: moderatePoll, moderateComment, moderateReply</t>
  </si>
  <si>
    <t>Blocklist IT/EN (~55 termini)</t>
  </si>
  <si>
    <t>Sistema violazioni (3 infrazioni → limited)</t>
  </si>
  <si>
    <t>Toast feedback moderazione con onSnapshot</t>
  </si>
  <si>
    <t>Modalità utente: limited / normal / premium</t>
  </si>
  <si>
    <t>Auto-upgrade limited → normal dopo 24h</t>
  </si>
  <si>
    <t>FASE 11 — Business e monetizzazione (aprile 2026, settimana 2)</t>
  </si>
  <si>
    <t>Pagina inserzionisti /advertise</t>
  </si>
  <si>
    <t>Pacchetti Starter / Growth / Enterprise</t>
  </si>
  <si>
    <t>FASE 12 — Completamento (da pianificare)</t>
  </si>
  <si>
    <t>Media kit PDF</t>
  </si>
  <si>
    <t>Dominio personalizzato qpe.app</t>
  </si>
  <si>
    <t>Definizione modalità normal e premium</t>
  </si>
  <si>
    <t>Onboarding nuovi utenti</t>
  </si>
  <si>
    <t>Inserisci nuove righe SOPRA questa</t>
  </si>
  <si>
    <t>Ore al giorno:</t>
  </si>
  <si>
    <t>Costo risorse interne:</t>
  </si>
  <si>
    <t>Costo risorse esterne:</t>
  </si>
  <si>
    <t>€ al mese</t>
  </si>
  <si>
    <t>€ all'anno</t>
  </si>
  <si>
    <t>Ore totali:</t>
  </si>
  <si>
    <t>h</t>
  </si>
  <si>
    <t>Costo parziale: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</si>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</sst>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d/mm/yyyy"/>
    <numFmt numFmtId="168" formatCode="d\ mmm\ yyyy"/>
    <numFmt numFmtId="169" formatCode="d"/>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4"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6"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17" fillId="0" borderId="0" applyNumberFormat="0" applyFill="0" applyBorder="0" applyAlignment="0" applyProtection="0"/>
    <xf numFmtId="0" fontId="18" fillId="14" borderId="0" applyNumberFormat="0" applyBorder="0" applyAlignment="0" applyProtection="0"/>
    <xf numFmtId="0" fontId="19" fillId="15" borderId="0" applyNumberFormat="0" applyBorder="0" applyAlignment="0" applyProtection="0"/>
    <xf numFmtId="0" fontId="20" fillId="16" borderId="0" applyNumberFormat="0" applyBorder="0" applyAlignment="0" applyProtection="0"/>
    <xf numFmtId="0" fontId="21" fillId="17" borderId="11" applyNumberFormat="0" applyAlignment="0" applyProtection="0"/>
    <xf numFmtId="0" fontId="22" fillId="18" borderId="12" applyNumberFormat="0" applyAlignment="0" applyProtection="0"/>
    <xf numFmtId="0" fontId="23" fillId="18" borderId="11" applyNumberFormat="0" applyAlignment="0" applyProtection="0"/>
    <xf numFmtId="0" fontId="24" fillId="0" borderId="13" applyNumberFormat="0" applyFill="0" applyAlignment="0" applyProtection="0"/>
    <xf numFmtId="0" fontId="25" fillId="19" borderId="14" applyNumberFormat="0" applyAlignment="0" applyProtection="0"/>
    <xf numFmtId="0" fontId="26" fillId="0" borderId="0" applyNumberFormat="0" applyFill="0" applyBorder="0" applyAlignment="0" applyProtection="0"/>
    <xf numFmtId="0" fontId="9" fillId="20" borderId="15" applyNumberFormat="0" applyFont="0" applyAlignment="0" applyProtection="0"/>
    <xf numFmtId="0" fontId="27" fillId="0" borderId="0" applyNumberFormat="0" applyFill="0" applyBorder="0" applyAlignment="0" applyProtection="0"/>
    <xf numFmtId="0" fontId="6" fillId="0" borderId="16" applyNumberFormat="0" applyFill="0" applyAlignment="0" applyProtection="0"/>
    <xf numFmtId="0" fontId="14"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4"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4"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4"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4"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4"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7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0" fontId="8" fillId="2" borderId="2" xfId="0" applyFont="1" applyFill="1" applyBorder="1" applyAlignment="1">
      <alignment horizontal="left" vertical="center" indent="1"/>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0" fillId="0" borderId="0" xfId="0" applyAlignment="1">
      <alignment wrapText="1"/>
    </xf>
    <xf numFmtId="0" fontId="13" fillId="0" borderId="0" xfId="5" applyAlignment="1">
      <alignment horizontal="left"/>
    </xf>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0" fillId="0" borderId="10" xfId="0" applyBorder="1"/>
    <xf numFmtId="0" fontId="15" fillId="0" borderId="0" xfId="0" applyFont="1"/>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8" fillId="8" borderId="2" xfId="0" applyFont="1" applyFill="1" applyBorder="1" applyAlignment="1">
      <alignment horizontal="center" vertical="center"/>
    </xf>
    <xf numFmtId="166" fontId="4" fillId="8" borderId="2" xfId="0" applyNumberFormat="1" applyFont="1" applyFill="1" applyBorder="1" applyAlignment="1">
      <alignment horizontal="left" vertical="center"/>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9" fillId="0" borderId="3" xfId="9" applyAlignment="1">
      <alignment horizontal="center" vertical="center"/>
    </xf>
    <xf numFmtId="0" fontId="9" fillId="0" borderId="0" xfId="8" applyAlignment="1">
      <alignment horizontal="right" indent="1"/>
    </xf>
    <xf numFmtId="0" fontId="9" fillId="0" borderId="7" xfId="8" applyBorder="1" applyAlignment="1">
      <alignment horizontal="right" indent="1"/>
    </xf>
    <xf numFmtId="166" fontId="0" fillId="4" borderId="2" xfId="10" applyFont="1" applyFill="1">
      <alignment horizontal="center" vertical="center"/>
    </xf>
    <xf numFmtId="0" fontId="0" fillId="45" borderId="2" xfId="12" applyFont="1" applyFill="1">
      <alignment horizontal="left" vertical="center" indent="2"/>
    </xf>
    <xf numFmtId="0" fontId="0" fillId="45" borderId="2" xfId="12" applyFont="1" applyFill="1" applyAlignment="1">
      <alignment vertical="center"/>
    </xf>
  </cellXfs>
  <cellStyles count="54">
    <cellStyle name="20% - Colore 1" xfId="31" builtinId="30" customBuiltin="1"/>
    <cellStyle name="20% - Colore 2" xfId="35" builtinId="34" customBuiltin="1"/>
    <cellStyle name="20% - Colore 3" xfId="39" builtinId="38" customBuiltin="1"/>
    <cellStyle name="20% - Colore 4" xfId="43" builtinId="42" customBuiltin="1"/>
    <cellStyle name="20% - Colore 5" xfId="47" builtinId="46" customBuiltin="1"/>
    <cellStyle name="20% - Colore 6" xfId="51" builtinId="50" customBuiltin="1"/>
    <cellStyle name="40% - Colore 1" xfId="32" builtinId="31" customBuiltin="1"/>
    <cellStyle name="40% - Colore 2" xfId="36" builtinId="35" customBuiltin="1"/>
    <cellStyle name="40% - Colore 3" xfId="40" builtinId="39" customBuiltin="1"/>
    <cellStyle name="40% - Colore 4" xfId="44" builtinId="43" customBuiltin="1"/>
    <cellStyle name="40% - Colore 5" xfId="48" builtinId="47" customBuiltin="1"/>
    <cellStyle name="40% - Colore 6" xfId="52" builtinId="51" customBuiltin="1"/>
    <cellStyle name="60% - Colore 1" xfId="33" builtinId="32" customBuiltin="1"/>
    <cellStyle name="60% - Colore 2" xfId="37" builtinId="36" customBuiltin="1"/>
    <cellStyle name="60% - Colore 3" xfId="41" builtinId="40" customBuiltin="1"/>
    <cellStyle name="60% - Colore 4" xfId="45" builtinId="44" customBuiltin="1"/>
    <cellStyle name="60% - Colore 5" xfId="49" builtinId="48" customBuiltin="1"/>
    <cellStyle name="60% - Colore 6" xfId="53" builtinId="52" customBuiltin="1"/>
    <cellStyle name="Attività" xfId="12"/>
    <cellStyle name="Calcolo" xfId="23" builtinId="22" customBuiltin="1"/>
    <cellStyle name="Cella collegata" xfId="24" builtinId="24" customBuiltin="1"/>
    <cellStyle name="Cella da controllare" xfId="25" builtinId="23" customBuiltin="1"/>
    <cellStyle name="Collegamento ipertestuale" xfId="1" builtinId="8" customBuiltin="1"/>
    <cellStyle name="Collegamento ipertestuale visitato" xfId="13" builtinId="9" customBuiltin="1"/>
    <cellStyle name="Colore 1" xfId="30" builtinId="29" customBuiltin="1"/>
    <cellStyle name="Colore 2" xfId="34" builtinId="33" customBuiltin="1"/>
    <cellStyle name="Colore 3" xfId="38" builtinId="37" customBuiltin="1"/>
    <cellStyle name="Colore 4" xfId="42" builtinId="41" customBuiltin="1"/>
    <cellStyle name="Colore 5" xfId="46" builtinId="45" customBuiltin="1"/>
    <cellStyle name="Colore 6" xfId="50" builtinId="49" customBuiltin="1"/>
    <cellStyle name="Data" xfId="10"/>
    <cellStyle name="Inizio progetto" xfId="9"/>
    <cellStyle name="Input" xfId="21" builtinId="20" customBuiltin="1"/>
    <cellStyle name="Migliaia" xfId="4" builtinId="3" customBuiltin="1"/>
    <cellStyle name="Migliaia [0]" xfId="14" builtinId="6" customBuiltin="1"/>
    <cellStyle name="Neutrale" xfId="20" builtinId="28" customBuiltin="1"/>
    <cellStyle name="Nome" xfId="11"/>
    <cellStyle name="Normale" xfId="0" builtinId="0" customBuiltin="1"/>
    <cellStyle name="Nota" xfId="27" builtinId="10" customBuiltin="1"/>
    <cellStyle name="Output" xfId="22" builtinId="21" customBuiltin="1"/>
    <cellStyle name="Percentuale" xfId="2" builtinId="5" customBuiltin="1"/>
    <cellStyle name="Testo avviso" xfId="26" builtinId="11" customBuiltin="1"/>
    <cellStyle name="Testo descrittivo" xfId="28" builtinId="53" customBuiltin="1"/>
    <cellStyle name="Titolo" xfId="5" builtinId="15" customBuiltin="1"/>
    <cellStyle name="Titolo 1" xfId="6" builtinId="16" customBuiltin="1"/>
    <cellStyle name="Titolo 2" xfId="7" builtinId="17" customBuiltin="1"/>
    <cellStyle name="Titolo 3" xfId="8" builtinId="18" customBuiltin="1"/>
    <cellStyle name="Titolo 4" xfId="17" builtinId="19" customBuiltin="1"/>
    <cellStyle name="Totale" xfId="29" builtinId="25" customBuiltin="1"/>
    <cellStyle name="Valore non valido" xfId="19" builtinId="27" customBuiltin="1"/>
    <cellStyle name="Valore valido" xfId="18" builtinId="26" customBuiltin="1"/>
    <cellStyle name="Valuta" xfId="15" builtinId="4" customBuiltin="1"/>
    <cellStyle name="Valuta [0]" xfId="16" builtinId="7" customBuiltin="1"/>
    <cellStyle name="zTestoNascosto" xfId="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ElencoAttività" pivot="0" count="9">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L92"/>
  <sheetViews>
    <sheetView showGridLines="0" tabSelected="1" showRuler="0" zoomScaleNormal="100" zoomScalePageLayoutView="70" workbookViewId="0">
      <pane ySplit="5" topLeftCell="A49" activePane="bottomLeft" state="frozen"/>
      <selection pane="bottomLeft" activeCell="E90" sqref="E90"/>
    </sheetView>
  </sheetViews>
  <sheetFormatPr defaultRowHeight="30" customHeight="1" x14ac:dyDescent="0.35"/>
  <cols>
    <col min="1" max="1" width="2.7265625" style="25" customWidth="1"/>
    <col min="2" max="2" width="76" customWidth="1"/>
    <col min="3" max="3" width="30.7265625" customWidth="1"/>
    <col min="4" max="4" width="13.81640625" customWidth="1"/>
    <col min="5" max="5" width="10.453125" style="5" customWidth="1"/>
    <col min="6" max="6" width="10.453125" customWidth="1"/>
    <col min="7" max="7" width="2.7265625" customWidth="1"/>
    <col min="8" max="8" width="6.1796875" hidden="1" customWidth="1"/>
    <col min="9" max="64" width="2.54296875" customWidth="1"/>
    <col min="69" max="70" width="10.26953125"/>
  </cols>
  <sheetData>
    <row r="1" spans="1:64" ht="30" customHeight="1" x14ac:dyDescent="0.65">
      <c r="A1" s="26" t="s">
        <v>0</v>
      </c>
      <c r="B1" s="28" t="s">
        <v>1</v>
      </c>
      <c r="C1" s="1"/>
      <c r="D1" s="2"/>
      <c r="E1" s="4"/>
      <c r="F1" s="24"/>
      <c r="H1" s="2"/>
      <c r="I1" s="43"/>
    </row>
    <row r="2" spans="1:64" ht="30" customHeight="1" x14ac:dyDescent="0.35">
      <c r="A2" s="25" t="s">
        <v>2</v>
      </c>
      <c r="B2" s="29" t="s">
        <v>3</v>
      </c>
      <c r="C2" s="65" t="s">
        <v>4</v>
      </c>
      <c r="D2" s="66"/>
      <c r="E2" s="64">
        <v>46109</v>
      </c>
      <c r="F2" s="64"/>
    </row>
    <row r="3" spans="1:64" ht="30" customHeight="1" x14ac:dyDescent="0.35">
      <c r="A3" s="26" t="s">
        <v>5</v>
      </c>
      <c r="C3" s="65" t="s">
        <v>6</v>
      </c>
      <c r="D3" s="66"/>
      <c r="E3" s="6">
        <v>1</v>
      </c>
      <c r="I3" s="61">
        <f>I4</f>
        <v>46104</v>
      </c>
      <c r="J3" s="62"/>
      <c r="K3" s="62"/>
      <c r="L3" s="62"/>
      <c r="M3" s="62"/>
      <c r="N3" s="62"/>
      <c r="O3" s="63"/>
      <c r="P3" s="61">
        <f>P4</f>
        <v>46111</v>
      </c>
      <c r="Q3" s="62"/>
      <c r="R3" s="62"/>
      <c r="S3" s="62"/>
      <c r="T3" s="62"/>
      <c r="U3" s="62"/>
      <c r="V3" s="63"/>
      <c r="W3" s="61">
        <f>W4</f>
        <v>46118</v>
      </c>
      <c r="X3" s="62"/>
      <c r="Y3" s="62"/>
      <c r="Z3" s="62"/>
      <c r="AA3" s="62"/>
      <c r="AB3" s="62"/>
      <c r="AC3" s="63"/>
      <c r="AD3" s="61">
        <f>AD4</f>
        <v>46125</v>
      </c>
      <c r="AE3" s="62"/>
      <c r="AF3" s="62"/>
      <c r="AG3" s="62"/>
      <c r="AH3" s="62"/>
      <c r="AI3" s="62"/>
      <c r="AJ3" s="63"/>
      <c r="AK3" s="61">
        <f>AK4</f>
        <v>46132</v>
      </c>
      <c r="AL3" s="62"/>
      <c r="AM3" s="62"/>
      <c r="AN3" s="62"/>
      <c r="AO3" s="62"/>
      <c r="AP3" s="62"/>
      <c r="AQ3" s="63"/>
      <c r="AR3" s="61">
        <f>AR4</f>
        <v>46139</v>
      </c>
      <c r="AS3" s="62"/>
      <c r="AT3" s="62"/>
      <c r="AU3" s="62"/>
      <c r="AV3" s="62"/>
      <c r="AW3" s="62"/>
      <c r="AX3" s="63"/>
      <c r="AY3" s="61">
        <f>AY4</f>
        <v>46146</v>
      </c>
      <c r="AZ3" s="62"/>
      <c r="BA3" s="62"/>
      <c r="BB3" s="62"/>
      <c r="BC3" s="62"/>
      <c r="BD3" s="62"/>
      <c r="BE3" s="63"/>
      <c r="BF3" s="61">
        <f>BF4</f>
        <v>46153</v>
      </c>
      <c r="BG3" s="62"/>
      <c r="BH3" s="62"/>
      <c r="BI3" s="62"/>
      <c r="BJ3" s="62"/>
      <c r="BK3" s="62"/>
      <c r="BL3" s="63"/>
    </row>
    <row r="4" spans="1:64" ht="15" customHeight="1" x14ac:dyDescent="0.35">
      <c r="A4" s="26" t="s">
        <v>7</v>
      </c>
      <c r="B4" s="42"/>
      <c r="C4" s="42"/>
      <c r="D4" s="42"/>
      <c r="E4" s="42"/>
      <c r="F4" s="42"/>
      <c r="G4" s="42"/>
      <c r="I4" s="56">
        <f>Inizio_progetto-WEEKDAY(Inizio_progetto,1)+2+7*(Visualizza_settimana-1)</f>
        <v>46104</v>
      </c>
      <c r="J4" s="57">
        <f>I4+1</f>
        <v>46105</v>
      </c>
      <c r="K4" s="57">
        <f t="shared" ref="K4:AX4" si="0">J4+1</f>
        <v>46106</v>
      </c>
      <c r="L4" s="57">
        <f t="shared" si="0"/>
        <v>46107</v>
      </c>
      <c r="M4" s="57">
        <f t="shared" si="0"/>
        <v>46108</v>
      </c>
      <c r="N4" s="57">
        <f t="shared" si="0"/>
        <v>46109</v>
      </c>
      <c r="O4" s="58">
        <f t="shared" si="0"/>
        <v>46110</v>
      </c>
      <c r="P4" s="56">
        <f>O4+1</f>
        <v>46111</v>
      </c>
      <c r="Q4" s="57">
        <f>P4+1</f>
        <v>46112</v>
      </c>
      <c r="R4" s="57">
        <f t="shared" si="0"/>
        <v>46113</v>
      </c>
      <c r="S4" s="57">
        <f t="shared" si="0"/>
        <v>46114</v>
      </c>
      <c r="T4" s="57">
        <f t="shared" si="0"/>
        <v>46115</v>
      </c>
      <c r="U4" s="57">
        <f t="shared" si="0"/>
        <v>46116</v>
      </c>
      <c r="V4" s="58">
        <f t="shared" si="0"/>
        <v>46117</v>
      </c>
      <c r="W4" s="56">
        <f>V4+1</f>
        <v>46118</v>
      </c>
      <c r="X4" s="57">
        <f>W4+1</f>
        <v>46119</v>
      </c>
      <c r="Y4" s="57">
        <f t="shared" si="0"/>
        <v>46120</v>
      </c>
      <c r="Z4" s="57">
        <f t="shared" si="0"/>
        <v>46121</v>
      </c>
      <c r="AA4" s="57">
        <f t="shared" si="0"/>
        <v>46122</v>
      </c>
      <c r="AB4" s="57">
        <f t="shared" si="0"/>
        <v>46123</v>
      </c>
      <c r="AC4" s="58">
        <f t="shared" si="0"/>
        <v>46124</v>
      </c>
      <c r="AD4" s="56">
        <f>AC4+1</f>
        <v>46125</v>
      </c>
      <c r="AE4" s="57">
        <f>AD4+1</f>
        <v>46126</v>
      </c>
      <c r="AF4" s="57">
        <f t="shared" si="0"/>
        <v>46127</v>
      </c>
      <c r="AG4" s="57">
        <f t="shared" si="0"/>
        <v>46128</v>
      </c>
      <c r="AH4" s="57">
        <f t="shared" si="0"/>
        <v>46129</v>
      </c>
      <c r="AI4" s="57">
        <f t="shared" si="0"/>
        <v>46130</v>
      </c>
      <c r="AJ4" s="58">
        <f t="shared" si="0"/>
        <v>46131</v>
      </c>
      <c r="AK4" s="56">
        <f>AJ4+1</f>
        <v>46132</v>
      </c>
      <c r="AL4" s="57">
        <f>AK4+1</f>
        <v>46133</v>
      </c>
      <c r="AM4" s="57">
        <f t="shared" si="0"/>
        <v>46134</v>
      </c>
      <c r="AN4" s="57">
        <f t="shared" si="0"/>
        <v>46135</v>
      </c>
      <c r="AO4" s="57">
        <f t="shared" si="0"/>
        <v>46136</v>
      </c>
      <c r="AP4" s="57">
        <f t="shared" si="0"/>
        <v>46137</v>
      </c>
      <c r="AQ4" s="58">
        <f t="shared" si="0"/>
        <v>46138</v>
      </c>
      <c r="AR4" s="56">
        <f>AQ4+1</f>
        <v>46139</v>
      </c>
      <c r="AS4" s="57">
        <f>AR4+1</f>
        <v>46140</v>
      </c>
      <c r="AT4" s="57">
        <f t="shared" si="0"/>
        <v>46141</v>
      </c>
      <c r="AU4" s="57">
        <f t="shared" si="0"/>
        <v>46142</v>
      </c>
      <c r="AV4" s="57">
        <f t="shared" si="0"/>
        <v>46143</v>
      </c>
      <c r="AW4" s="57">
        <f t="shared" si="0"/>
        <v>46144</v>
      </c>
      <c r="AX4" s="58">
        <f t="shared" si="0"/>
        <v>46145</v>
      </c>
      <c r="AY4" s="56">
        <f>AX4+1</f>
        <v>46146</v>
      </c>
      <c r="AZ4" s="57">
        <f>AY4+1</f>
        <v>46147</v>
      </c>
      <c r="BA4" s="57">
        <f t="shared" ref="BA4:BE4" si="1">AZ4+1</f>
        <v>46148</v>
      </c>
      <c r="BB4" s="57">
        <f t="shared" si="1"/>
        <v>46149</v>
      </c>
      <c r="BC4" s="57">
        <f t="shared" si="1"/>
        <v>46150</v>
      </c>
      <c r="BD4" s="57">
        <f t="shared" si="1"/>
        <v>46151</v>
      </c>
      <c r="BE4" s="58">
        <f t="shared" si="1"/>
        <v>46152</v>
      </c>
      <c r="BF4" s="56">
        <f>BE4+1</f>
        <v>46153</v>
      </c>
      <c r="BG4" s="57">
        <f>BF4+1</f>
        <v>46154</v>
      </c>
      <c r="BH4" s="57">
        <f t="shared" ref="BH4:BK4" si="2">BG4+1</f>
        <v>46155</v>
      </c>
      <c r="BI4" s="57">
        <f t="shared" si="2"/>
        <v>46156</v>
      </c>
      <c r="BJ4" s="57">
        <f t="shared" si="2"/>
        <v>46157</v>
      </c>
      <c r="BK4" s="57">
        <f t="shared" si="2"/>
        <v>46158</v>
      </c>
      <c r="BL4" s="58">
        <f>BK4+1</f>
        <v>46159</v>
      </c>
    </row>
    <row r="5" spans="1:64" ht="30" customHeight="1" thickBot="1" x14ac:dyDescent="0.4">
      <c r="A5" s="26" t="s">
        <v>8</v>
      </c>
      <c r="B5" s="7" t="s">
        <v>9</v>
      </c>
      <c r="C5" s="8" t="s">
        <v>10</v>
      </c>
      <c r="D5" s="8" t="s">
        <v>11</v>
      </c>
      <c r="E5" s="8" t="s">
        <v>12</v>
      </c>
      <c r="F5" s="8" t="s">
        <v>13</v>
      </c>
      <c r="G5" s="8"/>
      <c r="H5" s="8" t="s">
        <v>14</v>
      </c>
      <c r="I5" s="9" t="str">
        <f t="shared" ref="I5:AN5" si="3">LEFT(TEXT(I4,"ggg"),1)</f>
        <v>l</v>
      </c>
      <c r="J5" s="9" t="str">
        <f t="shared" si="3"/>
        <v>m</v>
      </c>
      <c r="K5" s="9" t="str">
        <f t="shared" si="3"/>
        <v>m</v>
      </c>
      <c r="L5" s="9" t="str">
        <f t="shared" si="3"/>
        <v>g</v>
      </c>
      <c r="M5" s="9" t="str">
        <f t="shared" si="3"/>
        <v>v</v>
      </c>
      <c r="N5" s="9" t="str">
        <f t="shared" si="3"/>
        <v>s</v>
      </c>
      <c r="O5" s="9" t="str">
        <f t="shared" si="3"/>
        <v>d</v>
      </c>
      <c r="P5" s="9" t="str">
        <f t="shared" si="3"/>
        <v>l</v>
      </c>
      <c r="Q5" s="9" t="str">
        <f t="shared" si="3"/>
        <v>m</v>
      </c>
      <c r="R5" s="9" t="str">
        <f t="shared" si="3"/>
        <v>m</v>
      </c>
      <c r="S5" s="9" t="str">
        <f t="shared" si="3"/>
        <v>g</v>
      </c>
      <c r="T5" s="9" t="str">
        <f t="shared" si="3"/>
        <v>v</v>
      </c>
      <c r="U5" s="9" t="str">
        <f t="shared" si="3"/>
        <v>s</v>
      </c>
      <c r="V5" s="9" t="str">
        <f t="shared" si="3"/>
        <v>d</v>
      </c>
      <c r="W5" s="9" t="str">
        <f t="shared" si="3"/>
        <v>l</v>
      </c>
      <c r="X5" s="9" t="str">
        <f t="shared" si="3"/>
        <v>m</v>
      </c>
      <c r="Y5" s="9" t="str">
        <f t="shared" si="3"/>
        <v>m</v>
      </c>
      <c r="Z5" s="9" t="str">
        <f t="shared" si="3"/>
        <v>g</v>
      </c>
      <c r="AA5" s="9" t="str">
        <f t="shared" si="3"/>
        <v>v</v>
      </c>
      <c r="AB5" s="9" t="str">
        <f t="shared" si="3"/>
        <v>s</v>
      </c>
      <c r="AC5" s="9" t="str">
        <f t="shared" si="3"/>
        <v>d</v>
      </c>
      <c r="AD5" s="9" t="str">
        <f t="shared" si="3"/>
        <v>l</v>
      </c>
      <c r="AE5" s="9" t="str">
        <f t="shared" si="3"/>
        <v>m</v>
      </c>
      <c r="AF5" s="9" t="str">
        <f t="shared" si="3"/>
        <v>m</v>
      </c>
      <c r="AG5" s="9" t="str">
        <f t="shared" si="3"/>
        <v>g</v>
      </c>
      <c r="AH5" s="9" t="str">
        <f t="shared" si="3"/>
        <v>v</v>
      </c>
      <c r="AI5" s="9" t="str">
        <f t="shared" si="3"/>
        <v>s</v>
      </c>
      <c r="AJ5" s="9" t="str">
        <f t="shared" si="3"/>
        <v>d</v>
      </c>
      <c r="AK5" s="9" t="str">
        <f t="shared" si="3"/>
        <v>l</v>
      </c>
      <c r="AL5" s="9" t="str">
        <f t="shared" si="3"/>
        <v>m</v>
      </c>
      <c r="AM5" s="9" t="str">
        <f t="shared" si="3"/>
        <v>m</v>
      </c>
      <c r="AN5" s="9" t="str">
        <f t="shared" si="3"/>
        <v>g</v>
      </c>
      <c r="AO5" s="9" t="str">
        <f t="shared" ref="AO5:BL5" si="4">LEFT(TEXT(AO4,"ggg"),1)</f>
        <v>v</v>
      </c>
      <c r="AP5" s="9" t="str">
        <f t="shared" si="4"/>
        <v>s</v>
      </c>
      <c r="AQ5" s="9" t="str">
        <f t="shared" si="4"/>
        <v>d</v>
      </c>
      <c r="AR5" s="9" t="str">
        <f t="shared" si="4"/>
        <v>l</v>
      </c>
      <c r="AS5" s="9" t="str">
        <f t="shared" si="4"/>
        <v>m</v>
      </c>
      <c r="AT5" s="9" t="str">
        <f t="shared" si="4"/>
        <v>m</v>
      </c>
      <c r="AU5" s="9" t="str">
        <f t="shared" si="4"/>
        <v>g</v>
      </c>
      <c r="AV5" s="9" t="str">
        <f t="shared" si="4"/>
        <v>v</v>
      </c>
      <c r="AW5" s="9" t="str">
        <f t="shared" si="4"/>
        <v>s</v>
      </c>
      <c r="AX5" s="9" t="str">
        <f t="shared" si="4"/>
        <v>d</v>
      </c>
      <c r="AY5" s="9" t="str">
        <f t="shared" si="4"/>
        <v>l</v>
      </c>
      <c r="AZ5" s="9" t="str">
        <f t="shared" si="4"/>
        <v>m</v>
      </c>
      <c r="BA5" s="9" t="str">
        <f t="shared" si="4"/>
        <v>m</v>
      </c>
      <c r="BB5" s="9" t="str">
        <f t="shared" si="4"/>
        <v>g</v>
      </c>
      <c r="BC5" s="9" t="str">
        <f t="shared" si="4"/>
        <v>v</v>
      </c>
      <c r="BD5" s="9" t="str">
        <f t="shared" si="4"/>
        <v>s</v>
      </c>
      <c r="BE5" s="9" t="str">
        <f t="shared" si="4"/>
        <v>d</v>
      </c>
      <c r="BF5" s="9" t="str">
        <f t="shared" si="4"/>
        <v>l</v>
      </c>
      <c r="BG5" s="9" t="str">
        <f t="shared" si="4"/>
        <v>m</v>
      </c>
      <c r="BH5" s="9" t="str">
        <f t="shared" si="4"/>
        <v>m</v>
      </c>
      <c r="BI5" s="9" t="str">
        <f t="shared" si="4"/>
        <v>g</v>
      </c>
      <c r="BJ5" s="9" t="str">
        <f t="shared" si="4"/>
        <v>v</v>
      </c>
      <c r="BK5" s="9" t="str">
        <f t="shared" si="4"/>
        <v>s</v>
      </c>
      <c r="BL5" s="9" t="str">
        <f t="shared" si="4"/>
        <v>d</v>
      </c>
    </row>
    <row r="6" spans="1:64" ht="30" hidden="1" customHeight="1" thickBot="1" x14ac:dyDescent="0.4">
      <c r="A6" s="25" t="s">
        <v>15</v>
      </c>
      <c r="C6" s="27"/>
      <c r="E6"/>
      <c r="H6" t="str">
        <f>IF(OR(ISBLANK(Inizio_attività),ISBLANK(fine_attività)),"",fine_attività-Inizio_attività+1)</f>
        <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s="3" customFormat="1" ht="30" customHeight="1" thickBot="1" x14ac:dyDescent="0.4">
      <c r="A7" s="26" t="s">
        <v>16</v>
      </c>
      <c r="B7" s="11" t="s">
        <v>17</v>
      </c>
      <c r="C7" s="30"/>
      <c r="D7" s="12"/>
      <c r="E7" s="44"/>
      <c r="F7" s="45"/>
      <c r="G7" s="10"/>
      <c r="H7" s="10" t="str">
        <f t="shared" ref="H7:H70" si="5">IF(OR(ISBLANK(Inizio_attività),ISBLANK(fine_attività)),"",fine_attività-Inizio_attività+1)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s="3" customFormat="1" ht="30" customHeight="1" thickBot="1" x14ac:dyDescent="0.4">
      <c r="A8" s="26" t="s">
        <v>18</v>
      </c>
      <c r="B8" s="38" t="s">
        <v>19</v>
      </c>
      <c r="C8" s="31" t="s">
        <v>3</v>
      </c>
      <c r="D8" s="13">
        <v>1</v>
      </c>
      <c r="E8" s="46">
        <v>46109</v>
      </c>
      <c r="F8" s="46">
        <v>46110</v>
      </c>
      <c r="G8" s="10"/>
      <c r="H8" s="10">
        <f t="shared" si="5"/>
        <v>2</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s="3" customFormat="1" ht="30" customHeight="1" thickBot="1" x14ac:dyDescent="0.4">
      <c r="A9" s="26" t="s">
        <v>20</v>
      </c>
      <c r="B9" s="38" t="s">
        <v>21</v>
      </c>
      <c r="C9" s="31" t="s">
        <v>3</v>
      </c>
      <c r="D9" s="13">
        <v>1</v>
      </c>
      <c r="E9" s="46">
        <v>46109</v>
      </c>
      <c r="F9" s="46">
        <v>46110</v>
      </c>
      <c r="G9" s="10"/>
      <c r="H9" s="10">
        <f t="shared" si="5"/>
        <v>2</v>
      </c>
      <c r="I9" s="22"/>
      <c r="J9" s="22"/>
      <c r="K9" s="22"/>
      <c r="L9" s="22"/>
      <c r="M9" s="22"/>
      <c r="N9" s="22"/>
      <c r="O9" s="22"/>
      <c r="P9" s="22"/>
      <c r="Q9" s="22"/>
      <c r="R9" s="22"/>
      <c r="S9" s="22"/>
      <c r="T9" s="22"/>
      <c r="U9" s="23"/>
      <c r="V9" s="23"/>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s="3" customFormat="1" ht="30" customHeight="1" thickBot="1" x14ac:dyDescent="0.4">
      <c r="A10" s="25"/>
      <c r="B10" s="38" t="s">
        <v>22</v>
      </c>
      <c r="C10" s="31" t="s">
        <v>3</v>
      </c>
      <c r="D10" s="13">
        <v>1</v>
      </c>
      <c r="E10" s="46">
        <v>46109</v>
      </c>
      <c r="F10" s="46">
        <v>46110</v>
      </c>
      <c r="G10" s="10"/>
      <c r="H10" s="10">
        <f t="shared" si="5"/>
        <v>2</v>
      </c>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s="3" customFormat="1" ht="30" customHeight="1" thickBot="1" x14ac:dyDescent="0.4">
      <c r="A11" s="25"/>
      <c r="B11" s="38" t="s">
        <v>23</v>
      </c>
      <c r="C11" s="31" t="s">
        <v>3</v>
      </c>
      <c r="D11" s="13">
        <v>1</v>
      </c>
      <c r="E11" s="46">
        <v>46109</v>
      </c>
      <c r="F11" s="46">
        <v>46110</v>
      </c>
      <c r="G11" s="10"/>
      <c r="H11" s="10">
        <f t="shared" si="5"/>
        <v>2</v>
      </c>
      <c r="I11" s="22"/>
      <c r="J11" s="22"/>
      <c r="K11" s="22"/>
      <c r="L11" s="22"/>
      <c r="M11" s="22"/>
      <c r="N11" s="22"/>
      <c r="O11" s="22"/>
      <c r="P11" s="22"/>
      <c r="Q11" s="22"/>
      <c r="R11" s="22"/>
      <c r="S11" s="22"/>
      <c r="T11" s="22"/>
      <c r="U11" s="22"/>
      <c r="V11" s="22"/>
      <c r="W11" s="22"/>
      <c r="X11" s="22"/>
      <c r="Y11" s="23"/>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s="3" customFormat="1" ht="30" customHeight="1" thickBot="1" x14ac:dyDescent="0.4">
      <c r="A12" s="25"/>
      <c r="B12" s="38" t="s">
        <v>24</v>
      </c>
      <c r="C12" s="31" t="s">
        <v>3</v>
      </c>
      <c r="D12" s="13">
        <v>1</v>
      </c>
      <c r="E12" s="46">
        <v>46109</v>
      </c>
      <c r="F12" s="46">
        <v>46110</v>
      </c>
      <c r="G12" s="10"/>
      <c r="H12" s="10">
        <f t="shared" si="5"/>
        <v>2</v>
      </c>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s="3" customFormat="1" ht="30" customHeight="1" thickBot="1" x14ac:dyDescent="0.4">
      <c r="A13" s="25"/>
      <c r="B13" s="38" t="s">
        <v>25</v>
      </c>
      <c r="C13" s="31" t="s">
        <v>3</v>
      </c>
      <c r="D13" s="13">
        <v>1</v>
      </c>
      <c r="E13" s="46">
        <v>46109</v>
      </c>
      <c r="F13" s="46">
        <v>46110</v>
      </c>
      <c r="G13" s="10"/>
      <c r="H13" s="10"/>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s="3" customFormat="1" ht="30" customHeight="1" thickBot="1" x14ac:dyDescent="0.4">
      <c r="A14" s="26" t="s">
        <v>26</v>
      </c>
      <c r="B14" s="14" t="s">
        <v>27</v>
      </c>
      <c r="C14" s="32"/>
      <c r="D14" s="15"/>
      <c r="E14" s="47"/>
      <c r="F14" s="48"/>
      <c r="G14" s="10"/>
      <c r="H14" s="10" t="str">
        <f t="shared" si="5"/>
        <v/>
      </c>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s="3" customFormat="1" ht="30" customHeight="1" thickBot="1" x14ac:dyDescent="0.4">
      <c r="A15" s="26"/>
      <c r="B15" s="39" t="s">
        <v>28</v>
      </c>
      <c r="C15" s="33" t="s">
        <v>3</v>
      </c>
      <c r="D15" s="16">
        <v>1</v>
      </c>
      <c r="E15" s="49">
        <v>46109</v>
      </c>
      <c r="F15" s="49">
        <v>46117</v>
      </c>
      <c r="G15" s="10"/>
      <c r="H15" s="10">
        <f t="shared" si="5"/>
        <v>9</v>
      </c>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s="3" customFormat="1" ht="30" customHeight="1" thickBot="1" x14ac:dyDescent="0.4">
      <c r="A16" s="25"/>
      <c r="B16" s="39" t="s">
        <v>29</v>
      </c>
      <c r="C16" s="33" t="s">
        <v>3</v>
      </c>
      <c r="D16" s="16">
        <v>1</v>
      </c>
      <c r="E16" s="49">
        <v>46109</v>
      </c>
      <c r="F16" s="49">
        <v>46117</v>
      </c>
      <c r="G16" s="10"/>
      <c r="H16" s="10">
        <f t="shared" si="5"/>
        <v>9</v>
      </c>
      <c r="I16" s="22"/>
      <c r="J16" s="22"/>
      <c r="K16" s="22"/>
      <c r="L16" s="22"/>
      <c r="M16" s="22"/>
      <c r="N16" s="22"/>
      <c r="O16" s="22"/>
      <c r="P16" s="22"/>
      <c r="Q16" s="22"/>
      <c r="R16" s="22"/>
      <c r="S16" s="22"/>
      <c r="T16" s="22"/>
      <c r="U16" s="23"/>
      <c r="V16" s="23"/>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s="3" customFormat="1" ht="30" customHeight="1" thickBot="1" x14ac:dyDescent="0.4">
      <c r="A17" s="25"/>
      <c r="B17" s="39" t="s">
        <v>30</v>
      </c>
      <c r="C17" s="33" t="s">
        <v>3</v>
      </c>
      <c r="D17" s="16">
        <v>1</v>
      </c>
      <c r="E17" s="49">
        <v>46109</v>
      </c>
      <c r="F17" s="49">
        <v>46117</v>
      </c>
      <c r="G17" s="10"/>
      <c r="H17" s="10">
        <f t="shared" si="5"/>
        <v>9</v>
      </c>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s="3" customFormat="1" ht="30" customHeight="1" thickBot="1" x14ac:dyDescent="0.4">
      <c r="A18" s="25"/>
      <c r="B18" s="39" t="s">
        <v>31</v>
      </c>
      <c r="C18" s="33" t="s">
        <v>3</v>
      </c>
      <c r="D18" s="16">
        <v>1</v>
      </c>
      <c r="E18" s="49">
        <v>46109</v>
      </c>
      <c r="F18" s="49">
        <v>46117</v>
      </c>
      <c r="G18" s="10"/>
      <c r="H18" s="10">
        <f t="shared" si="5"/>
        <v>9</v>
      </c>
      <c r="I18" s="22"/>
      <c r="J18" s="22"/>
      <c r="K18" s="22"/>
      <c r="L18" s="22"/>
      <c r="M18" s="22"/>
      <c r="N18" s="22"/>
      <c r="O18" s="22"/>
      <c r="P18" s="22"/>
      <c r="Q18" s="22"/>
      <c r="R18" s="22"/>
      <c r="S18" s="22"/>
      <c r="T18" s="22"/>
      <c r="U18" s="22"/>
      <c r="V18" s="22"/>
      <c r="W18" s="22"/>
      <c r="X18" s="22"/>
      <c r="Y18" s="23"/>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s="3" customFormat="1" ht="30" customHeight="1" thickBot="1" x14ac:dyDescent="0.4">
      <c r="A19" s="25"/>
      <c r="B19" s="39" t="s">
        <v>32</v>
      </c>
      <c r="C19" s="33" t="s">
        <v>3</v>
      </c>
      <c r="D19" s="16">
        <v>1</v>
      </c>
      <c r="E19" s="49">
        <v>46109</v>
      </c>
      <c r="F19" s="49">
        <v>46117</v>
      </c>
      <c r="G19" s="10"/>
      <c r="H19" s="10">
        <f t="shared" si="5"/>
        <v>9</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s="3" customFormat="1" ht="30" customHeight="1" thickBot="1" x14ac:dyDescent="0.4">
      <c r="A20" s="25" t="s">
        <v>33</v>
      </c>
      <c r="B20" s="17" t="s">
        <v>34</v>
      </c>
      <c r="C20" s="34"/>
      <c r="D20" s="18"/>
      <c r="E20" s="50"/>
      <c r="F20" s="51"/>
      <c r="G20" s="10"/>
      <c r="H20" s="10" t="str">
        <f t="shared" si="5"/>
        <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s="3" customFormat="1" ht="30" customHeight="1" thickBot="1" x14ac:dyDescent="0.4">
      <c r="A21" s="25"/>
      <c r="B21" s="40" t="s">
        <v>35</v>
      </c>
      <c r="C21" s="35" t="s">
        <v>3</v>
      </c>
      <c r="D21" s="13">
        <v>1</v>
      </c>
      <c r="E21" s="52">
        <v>46111</v>
      </c>
      <c r="F21" s="52">
        <v>46117</v>
      </c>
      <c r="G21" s="10"/>
      <c r="H21" s="10">
        <f t="shared" si="5"/>
        <v>7</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s="3" customFormat="1" ht="30" customHeight="1" thickBot="1" x14ac:dyDescent="0.4">
      <c r="A22" s="25"/>
      <c r="B22" s="40" t="s">
        <v>36</v>
      </c>
      <c r="C22" s="35" t="s">
        <v>3</v>
      </c>
      <c r="D22" s="13">
        <v>1</v>
      </c>
      <c r="E22" s="52">
        <v>46111</v>
      </c>
      <c r="F22" s="52">
        <v>46117</v>
      </c>
      <c r="G22" s="10"/>
      <c r="H22" s="10">
        <f t="shared" si="5"/>
        <v>7</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s="3" customFormat="1" ht="30" customHeight="1" thickBot="1" x14ac:dyDescent="0.4">
      <c r="A23" s="25"/>
      <c r="B23" s="40" t="s">
        <v>37</v>
      </c>
      <c r="C23" s="35" t="s">
        <v>3</v>
      </c>
      <c r="D23" s="13">
        <v>1</v>
      </c>
      <c r="E23" s="52">
        <v>46111</v>
      </c>
      <c r="F23" s="52">
        <v>46117</v>
      </c>
      <c r="G23" s="10"/>
      <c r="H23" s="10">
        <f t="shared" si="5"/>
        <v>7</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s="3" customFormat="1" ht="30" customHeight="1" thickBot="1" x14ac:dyDescent="0.4">
      <c r="A24" s="25"/>
      <c r="B24" s="40" t="s">
        <v>38</v>
      </c>
      <c r="C24" s="35" t="s">
        <v>3</v>
      </c>
      <c r="D24" s="13">
        <v>1</v>
      </c>
      <c r="E24" s="52">
        <v>46111</v>
      </c>
      <c r="F24" s="52">
        <v>46117</v>
      </c>
      <c r="G24" s="10"/>
      <c r="H24" s="10">
        <f t="shared" si="5"/>
        <v>7</v>
      </c>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s="3" customFormat="1" ht="30" customHeight="1" thickBot="1" x14ac:dyDescent="0.4">
      <c r="A25" s="25"/>
      <c r="B25" s="40" t="s">
        <v>39</v>
      </c>
      <c r="C25" s="35" t="s">
        <v>3</v>
      </c>
      <c r="D25" s="13">
        <v>1</v>
      </c>
      <c r="E25" s="52">
        <v>46111</v>
      </c>
      <c r="F25" s="52">
        <v>46117</v>
      </c>
      <c r="G25" s="10"/>
      <c r="H25" s="10"/>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s="3" customFormat="1" ht="30" customHeight="1" thickBot="1" x14ac:dyDescent="0.4">
      <c r="A26" s="25"/>
      <c r="B26" s="40" t="s">
        <v>40</v>
      </c>
      <c r="C26" s="35" t="s">
        <v>3</v>
      </c>
      <c r="D26" s="13">
        <v>1</v>
      </c>
      <c r="E26" s="52">
        <v>46111</v>
      </c>
      <c r="F26" s="52">
        <v>46117</v>
      </c>
      <c r="G26" s="10"/>
      <c r="H26" s="10">
        <f t="shared" si="5"/>
        <v>7</v>
      </c>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s="3" customFormat="1" ht="30" customHeight="1" thickBot="1" x14ac:dyDescent="0.4">
      <c r="A27" s="25" t="s">
        <v>33</v>
      </c>
      <c r="B27" s="19" t="s">
        <v>41</v>
      </c>
      <c r="C27" s="36"/>
      <c r="D27" s="20"/>
      <c r="E27" s="53"/>
      <c r="F27" s="54"/>
      <c r="G27" s="10"/>
      <c r="H27" s="10" t="str">
        <f t="shared" si="5"/>
        <v/>
      </c>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s="3" customFormat="1" ht="30" customHeight="1" thickBot="1" x14ac:dyDescent="0.4">
      <c r="A28" s="25"/>
      <c r="B28" s="41" t="s">
        <v>42</v>
      </c>
      <c r="C28" s="37" t="s">
        <v>3</v>
      </c>
      <c r="D28" s="13">
        <v>1</v>
      </c>
      <c r="E28" s="55">
        <v>46118</v>
      </c>
      <c r="F28" s="55">
        <v>46126</v>
      </c>
      <c r="G28" s="10"/>
      <c r="H28" s="10">
        <f t="shared" si="5"/>
        <v>9</v>
      </c>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s="3" customFormat="1" ht="30" customHeight="1" thickBot="1" x14ac:dyDescent="0.4">
      <c r="A29" s="25"/>
      <c r="B29" s="41" t="s">
        <v>43</v>
      </c>
      <c r="C29" s="37" t="s">
        <v>3</v>
      </c>
      <c r="D29" s="13">
        <v>1</v>
      </c>
      <c r="E29" s="55">
        <v>46118</v>
      </c>
      <c r="F29" s="55">
        <v>46126</v>
      </c>
      <c r="G29" s="10"/>
      <c r="H29" s="10">
        <f t="shared" si="5"/>
        <v>9</v>
      </c>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s="3" customFormat="1" ht="30" customHeight="1" thickBot="1" x14ac:dyDescent="0.4">
      <c r="A30" s="25"/>
      <c r="B30" s="41" t="s">
        <v>44</v>
      </c>
      <c r="C30" s="37" t="s">
        <v>3</v>
      </c>
      <c r="D30" s="13">
        <v>1</v>
      </c>
      <c r="E30" s="55">
        <v>46118</v>
      </c>
      <c r="F30" s="55">
        <v>46126</v>
      </c>
      <c r="G30" s="10"/>
      <c r="H30" s="10">
        <f t="shared" si="5"/>
        <v>9</v>
      </c>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s="3" customFormat="1" ht="30" customHeight="1" thickBot="1" x14ac:dyDescent="0.4">
      <c r="A31" s="25"/>
      <c r="B31" s="41" t="s">
        <v>45</v>
      </c>
      <c r="C31" s="37" t="s">
        <v>3</v>
      </c>
      <c r="D31" s="13">
        <v>1</v>
      </c>
      <c r="E31" s="55">
        <v>46118</v>
      </c>
      <c r="F31" s="55">
        <v>46126</v>
      </c>
      <c r="G31" s="10"/>
      <c r="H31" s="10">
        <f t="shared" si="5"/>
        <v>9</v>
      </c>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s="3" customFormat="1" ht="30" customHeight="1" thickBot="1" x14ac:dyDescent="0.4">
      <c r="A32" s="25"/>
      <c r="B32" s="41" t="s">
        <v>46</v>
      </c>
      <c r="C32" s="37" t="s">
        <v>3</v>
      </c>
      <c r="D32" s="13">
        <v>1</v>
      </c>
      <c r="E32" s="55">
        <v>46118</v>
      </c>
      <c r="F32" s="55">
        <v>46126</v>
      </c>
      <c r="G32" s="10"/>
      <c r="H32" s="10"/>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1:64" s="3" customFormat="1" ht="30" customHeight="1" thickBot="1" x14ac:dyDescent="0.4">
      <c r="A33" s="25"/>
      <c r="B33" s="41" t="s">
        <v>47</v>
      </c>
      <c r="C33" s="37" t="s">
        <v>3</v>
      </c>
      <c r="D33" s="13">
        <v>1</v>
      </c>
      <c r="E33" s="55">
        <v>46118</v>
      </c>
      <c r="F33" s="55">
        <v>46126</v>
      </c>
      <c r="G33" s="10"/>
      <c r="H33" s="10"/>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1:64" s="3" customFormat="1" ht="30" customHeight="1" thickBot="1" x14ac:dyDescent="0.4">
      <c r="A34" s="25"/>
      <c r="B34" s="41" t="s">
        <v>48</v>
      </c>
      <c r="C34" s="37" t="s">
        <v>3</v>
      </c>
      <c r="D34" s="13">
        <v>1</v>
      </c>
      <c r="E34" s="55">
        <v>46118</v>
      </c>
      <c r="F34" s="55">
        <v>46126</v>
      </c>
      <c r="G34" s="10"/>
      <c r="H34" s="10"/>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1:64" s="3" customFormat="1" ht="30" customHeight="1" thickBot="1" x14ac:dyDescent="0.4">
      <c r="A35" s="25"/>
      <c r="B35" s="41" t="s">
        <v>49</v>
      </c>
      <c r="C35" s="37" t="s">
        <v>3</v>
      </c>
      <c r="D35" s="13">
        <v>1</v>
      </c>
      <c r="E35" s="55">
        <v>46118</v>
      </c>
      <c r="F35" s="55">
        <v>46126</v>
      </c>
      <c r="G35" s="10"/>
      <c r="H35" s="10">
        <f t="shared" si="5"/>
        <v>9</v>
      </c>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1:64" s="3" customFormat="1" ht="30" customHeight="1" thickBot="1" x14ac:dyDescent="0.4">
      <c r="A36" s="26" t="s">
        <v>50</v>
      </c>
      <c r="B36" s="11" t="s">
        <v>51</v>
      </c>
      <c r="C36" s="59"/>
      <c r="D36" s="12"/>
      <c r="E36" s="60"/>
      <c r="F36" s="45"/>
      <c r="G36" s="10"/>
      <c r="H36" s="10" t="str">
        <f t="shared" si="5"/>
        <v/>
      </c>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1:64" s="3" customFormat="1" ht="30" customHeight="1" thickBot="1" x14ac:dyDescent="0.4">
      <c r="A37" s="26"/>
      <c r="B37" s="38" t="s">
        <v>52</v>
      </c>
      <c r="C37" s="31" t="s">
        <v>3</v>
      </c>
      <c r="D37" s="13">
        <v>1</v>
      </c>
      <c r="E37" s="46">
        <v>46109</v>
      </c>
      <c r="F37" s="46">
        <v>46110</v>
      </c>
      <c r="G37" s="10"/>
      <c r="H37" s="10">
        <f t="shared" si="5"/>
        <v>2</v>
      </c>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1:64" s="3" customFormat="1" ht="30" customHeight="1" thickBot="1" x14ac:dyDescent="0.4">
      <c r="A38" s="26"/>
      <c r="B38" s="38" t="s">
        <v>53</v>
      </c>
      <c r="C38" s="31" t="s">
        <v>3</v>
      </c>
      <c r="D38" s="13">
        <v>1</v>
      </c>
      <c r="E38" s="46">
        <v>46109</v>
      </c>
      <c r="F38" s="46">
        <v>46110</v>
      </c>
      <c r="G38" s="10"/>
      <c r="H38" s="10">
        <f t="shared" si="5"/>
        <v>2</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1:64" s="3" customFormat="1" ht="30" customHeight="1" thickBot="1" x14ac:dyDescent="0.4">
      <c r="A39" s="26"/>
      <c r="B39" s="38" t="s">
        <v>54</v>
      </c>
      <c r="C39" s="31" t="s">
        <v>3</v>
      </c>
      <c r="D39" s="13">
        <v>1</v>
      </c>
      <c r="E39" s="46">
        <v>46109</v>
      </c>
      <c r="F39" s="46">
        <v>46110</v>
      </c>
      <c r="G39" s="10"/>
      <c r="H39" s="10">
        <f t="shared" si="5"/>
        <v>2</v>
      </c>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1:64" ht="30" customHeight="1" thickBot="1" x14ac:dyDescent="0.4">
      <c r="B40" s="38" t="s">
        <v>55</v>
      </c>
      <c r="C40" s="31" t="s">
        <v>3</v>
      </c>
      <c r="D40" s="13">
        <v>1</v>
      </c>
      <c r="E40" s="46">
        <v>46109</v>
      </c>
      <c r="F40" s="46">
        <v>46110</v>
      </c>
      <c r="G40" s="10"/>
      <c r="H40" s="10">
        <f t="shared" si="5"/>
        <v>2</v>
      </c>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1:64" ht="30" customHeight="1" thickBot="1" x14ac:dyDescent="0.4">
      <c r="B41" s="38" t="s">
        <v>56</v>
      </c>
      <c r="C41" s="31" t="s">
        <v>3</v>
      </c>
      <c r="D41" s="13">
        <v>1</v>
      </c>
      <c r="E41" s="46">
        <v>46109</v>
      </c>
      <c r="F41" s="46">
        <v>46110</v>
      </c>
      <c r="G41" s="10"/>
      <c r="H41" s="10">
        <f t="shared" si="5"/>
        <v>2</v>
      </c>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1:64" ht="30" customHeight="1" thickBot="1" x14ac:dyDescent="0.4">
      <c r="B42" s="38" t="s">
        <v>57</v>
      </c>
      <c r="C42" s="31" t="s">
        <v>3</v>
      </c>
      <c r="D42" s="13">
        <v>1</v>
      </c>
      <c r="E42" s="46">
        <v>46109</v>
      </c>
      <c r="F42" s="46">
        <v>46110</v>
      </c>
      <c r="G42" s="10"/>
      <c r="H42" s="10">
        <f t="shared" si="5"/>
        <v>2</v>
      </c>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1:64" ht="30" customHeight="1" thickBot="1" x14ac:dyDescent="0.4">
      <c r="B43" s="14" t="s">
        <v>58</v>
      </c>
      <c r="C43" s="32"/>
      <c r="D43" s="15"/>
      <c r="E43" s="47"/>
      <c r="F43" s="48"/>
      <c r="G43" s="10"/>
      <c r="H43" s="10" t="str">
        <f t="shared" si="5"/>
        <v/>
      </c>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1:64" ht="30" customHeight="1" thickBot="1" x14ac:dyDescent="0.4">
      <c r="B44" s="39" t="s">
        <v>59</v>
      </c>
      <c r="C44" s="33" t="s">
        <v>3</v>
      </c>
      <c r="D44" s="16">
        <v>1</v>
      </c>
      <c r="E44" s="49">
        <v>46109</v>
      </c>
      <c r="F44" s="49">
        <v>46110</v>
      </c>
      <c r="G44" s="10"/>
      <c r="H44" s="10">
        <f t="shared" si="5"/>
        <v>2</v>
      </c>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1:64" ht="30" customHeight="1" thickBot="1" x14ac:dyDescent="0.4">
      <c r="B45" s="39" t="s">
        <v>60</v>
      </c>
      <c r="C45" s="33" t="s">
        <v>3</v>
      </c>
      <c r="D45" s="16">
        <v>1</v>
      </c>
      <c r="E45" s="49">
        <v>46109</v>
      </c>
      <c r="F45" s="49">
        <v>46110</v>
      </c>
      <c r="G45" s="10"/>
      <c r="H45" s="10">
        <f t="shared" si="5"/>
        <v>2</v>
      </c>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1:64" ht="30" customHeight="1" thickBot="1" x14ac:dyDescent="0.4">
      <c r="B46" s="39" t="s">
        <v>61</v>
      </c>
      <c r="C46" s="33" t="s">
        <v>3</v>
      </c>
      <c r="D46" s="16">
        <v>1</v>
      </c>
      <c r="E46" s="49">
        <v>46109</v>
      </c>
      <c r="F46" s="49">
        <v>46110</v>
      </c>
      <c r="G46" s="10"/>
      <c r="H46" s="10">
        <f t="shared" si="5"/>
        <v>2</v>
      </c>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1:64" ht="30" customHeight="1" thickBot="1" x14ac:dyDescent="0.4">
      <c r="B47" s="39" t="s">
        <v>62</v>
      </c>
      <c r="C47" s="33" t="s">
        <v>3</v>
      </c>
      <c r="D47" s="16">
        <v>1</v>
      </c>
      <c r="E47" s="49">
        <v>46109</v>
      </c>
      <c r="F47" s="49">
        <v>46110</v>
      </c>
      <c r="G47" s="10"/>
      <c r="H47" s="10">
        <f t="shared" si="5"/>
        <v>2</v>
      </c>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1:64" ht="30" customHeight="1" thickBot="1" x14ac:dyDescent="0.4">
      <c r="B48" s="39" t="s">
        <v>63</v>
      </c>
      <c r="C48" s="33" t="s">
        <v>3</v>
      </c>
      <c r="D48" s="16">
        <v>1</v>
      </c>
      <c r="E48" s="49">
        <v>46109</v>
      </c>
      <c r="F48" s="49">
        <v>46110</v>
      </c>
      <c r="G48" s="10"/>
      <c r="H48" s="10">
        <f t="shared" si="5"/>
        <v>2</v>
      </c>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2:64" ht="30" customHeight="1" thickBot="1" x14ac:dyDescent="0.4">
      <c r="B49" s="39" t="s">
        <v>64</v>
      </c>
      <c r="C49" s="33" t="s">
        <v>3</v>
      </c>
      <c r="D49" s="16">
        <v>1</v>
      </c>
      <c r="E49" s="49">
        <v>46109</v>
      </c>
      <c r="F49" s="49">
        <v>46110</v>
      </c>
      <c r="G49" s="10"/>
      <c r="H49" s="10">
        <f t="shared" si="5"/>
        <v>2</v>
      </c>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2:64" ht="30" customHeight="1" thickBot="1" x14ac:dyDescent="0.4">
      <c r="B50" s="17" t="s">
        <v>65</v>
      </c>
      <c r="C50" s="34"/>
      <c r="D50" s="18"/>
      <c r="E50" s="50"/>
      <c r="F50" s="51"/>
      <c r="G50" s="10"/>
      <c r="H50" s="10" t="str">
        <f t="shared" si="5"/>
        <v/>
      </c>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2:64" ht="30" customHeight="1" thickBot="1" x14ac:dyDescent="0.4">
      <c r="B51" s="40" t="s">
        <v>66</v>
      </c>
      <c r="C51" s="35" t="s">
        <v>3</v>
      </c>
      <c r="D51" s="13">
        <v>1</v>
      </c>
      <c r="E51" s="52">
        <v>46109</v>
      </c>
      <c r="F51" s="52">
        <v>46117</v>
      </c>
      <c r="G51" s="10"/>
      <c r="H51" s="10">
        <f t="shared" si="5"/>
        <v>9</v>
      </c>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2:64" ht="30" customHeight="1" thickBot="1" x14ac:dyDescent="0.4">
      <c r="B52" s="40" t="s">
        <v>67</v>
      </c>
      <c r="C52" s="35" t="s">
        <v>3</v>
      </c>
      <c r="D52" s="13">
        <v>1</v>
      </c>
      <c r="E52" s="52">
        <v>46109</v>
      </c>
      <c r="F52" s="52">
        <v>46117</v>
      </c>
      <c r="G52" s="10"/>
      <c r="H52" s="10">
        <f t="shared" si="5"/>
        <v>9</v>
      </c>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2:64" ht="30" customHeight="1" thickBot="1" x14ac:dyDescent="0.4">
      <c r="B53" s="40" t="s">
        <v>68</v>
      </c>
      <c r="C53" s="35" t="s">
        <v>3</v>
      </c>
      <c r="D53" s="13">
        <v>1</v>
      </c>
      <c r="E53" s="52">
        <v>46109</v>
      </c>
      <c r="F53" s="52">
        <v>46117</v>
      </c>
      <c r="G53" s="10"/>
      <c r="H53" s="10">
        <f t="shared" si="5"/>
        <v>9</v>
      </c>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2:64" ht="30" customHeight="1" thickBot="1" x14ac:dyDescent="0.4">
      <c r="B54" s="40" t="s">
        <v>69</v>
      </c>
      <c r="C54" s="35" t="s">
        <v>3</v>
      </c>
      <c r="D54" s="13">
        <v>1</v>
      </c>
      <c r="E54" s="52">
        <v>46109</v>
      </c>
      <c r="F54" s="52">
        <v>46117</v>
      </c>
      <c r="G54" s="10"/>
      <c r="H54" s="10">
        <f t="shared" si="5"/>
        <v>9</v>
      </c>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2:64" ht="30" customHeight="1" thickBot="1" x14ac:dyDescent="0.4">
      <c r="B55" s="40" t="s">
        <v>70</v>
      </c>
      <c r="C55" s="35" t="s">
        <v>3</v>
      </c>
      <c r="D55" s="13">
        <v>1</v>
      </c>
      <c r="E55" s="52">
        <v>46109</v>
      </c>
      <c r="F55" s="52">
        <v>46117</v>
      </c>
      <c r="G55" s="10"/>
      <c r="H55" s="10">
        <f t="shared" si="5"/>
        <v>9</v>
      </c>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2:64" ht="30" customHeight="1" thickBot="1" x14ac:dyDescent="0.4">
      <c r="B56" s="40" t="s">
        <v>40</v>
      </c>
      <c r="C56" s="35" t="s">
        <v>3</v>
      </c>
      <c r="D56" s="13">
        <v>1</v>
      </c>
      <c r="E56" s="52">
        <v>46109</v>
      </c>
      <c r="F56" s="52">
        <v>46117</v>
      </c>
      <c r="G56" s="10"/>
      <c r="H56" s="10">
        <f t="shared" si="5"/>
        <v>9</v>
      </c>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2:64" ht="30" customHeight="1" thickBot="1" x14ac:dyDescent="0.4">
      <c r="B57" s="19" t="s">
        <v>71</v>
      </c>
      <c r="C57" s="36"/>
      <c r="D57" s="20"/>
      <c r="E57" s="53"/>
      <c r="F57" s="54"/>
      <c r="G57" s="10"/>
      <c r="H57" s="10" t="str">
        <f t="shared" si="5"/>
        <v/>
      </c>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2:64" ht="30" customHeight="1" thickBot="1" x14ac:dyDescent="0.4">
      <c r="B58" s="41" t="s">
        <v>72</v>
      </c>
      <c r="C58" s="37" t="s">
        <v>3</v>
      </c>
      <c r="D58" s="13">
        <v>1</v>
      </c>
      <c r="E58" s="55">
        <v>46111</v>
      </c>
      <c r="F58" s="55">
        <v>46117</v>
      </c>
      <c r="G58" s="10"/>
      <c r="H58" s="10">
        <f t="shared" si="5"/>
        <v>7</v>
      </c>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2:64" ht="30" customHeight="1" thickBot="1" x14ac:dyDescent="0.4">
      <c r="B59" s="41" t="s">
        <v>73</v>
      </c>
      <c r="C59" s="37" t="s">
        <v>3</v>
      </c>
      <c r="D59" s="13">
        <v>1</v>
      </c>
      <c r="E59" s="55">
        <v>46111</v>
      </c>
      <c r="F59" s="55">
        <v>46117</v>
      </c>
      <c r="G59" s="10"/>
      <c r="H59" s="10">
        <f t="shared" si="5"/>
        <v>7</v>
      </c>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2:64" ht="30" customHeight="1" thickBot="1" x14ac:dyDescent="0.4">
      <c r="B60" s="41" t="s">
        <v>74</v>
      </c>
      <c r="C60" s="37" t="s">
        <v>3</v>
      </c>
      <c r="D60" s="13">
        <v>1</v>
      </c>
      <c r="E60" s="55">
        <v>46111</v>
      </c>
      <c r="F60" s="55">
        <v>46117</v>
      </c>
      <c r="G60" s="10"/>
      <c r="H60" s="10">
        <f t="shared" si="5"/>
        <v>7</v>
      </c>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2:64" ht="30" customHeight="1" thickBot="1" x14ac:dyDescent="0.4">
      <c r="B61" s="41" t="s">
        <v>75</v>
      </c>
      <c r="C61" s="37" t="s">
        <v>3</v>
      </c>
      <c r="D61" s="13">
        <v>1</v>
      </c>
      <c r="E61" s="55">
        <v>46111</v>
      </c>
      <c r="F61" s="55">
        <v>46117</v>
      </c>
      <c r="G61" s="10"/>
      <c r="H61" s="10">
        <f t="shared" si="5"/>
        <v>7</v>
      </c>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2:64" ht="30" customHeight="1" thickBot="1" x14ac:dyDescent="0.4">
      <c r="B62" s="41" t="s">
        <v>76</v>
      </c>
      <c r="C62" s="37" t="s">
        <v>3</v>
      </c>
      <c r="D62" s="13">
        <v>1</v>
      </c>
      <c r="E62" s="55">
        <v>46111</v>
      </c>
      <c r="F62" s="55">
        <v>46117</v>
      </c>
      <c r="G62" s="10"/>
      <c r="H62" s="10">
        <f t="shared" si="5"/>
        <v>7</v>
      </c>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2:64" ht="30" customHeight="1" thickBot="1" x14ac:dyDescent="0.4">
      <c r="B63" s="41" t="s">
        <v>77</v>
      </c>
      <c r="C63" s="37" t="s">
        <v>3</v>
      </c>
      <c r="D63" s="13">
        <v>1</v>
      </c>
      <c r="E63" s="55">
        <v>46111</v>
      </c>
      <c r="F63" s="55">
        <v>46117</v>
      </c>
      <c r="G63" s="10"/>
      <c r="H63" s="10">
        <f t="shared" si="5"/>
        <v>7</v>
      </c>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2:64" ht="30" customHeight="1" thickBot="1" x14ac:dyDescent="0.4">
      <c r="B64" s="11" t="s">
        <v>78</v>
      </c>
      <c r="C64" s="59"/>
      <c r="D64" s="12"/>
      <c r="E64" s="60"/>
      <c r="F64" s="45"/>
      <c r="G64" s="10"/>
      <c r="H64" s="10" t="str">
        <f t="shared" si="5"/>
        <v/>
      </c>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2:64" ht="30" customHeight="1" thickBot="1" x14ac:dyDescent="0.4">
      <c r="B65" s="38" t="s">
        <v>79</v>
      </c>
      <c r="C65" s="31" t="s">
        <v>3</v>
      </c>
      <c r="D65" s="13">
        <v>1</v>
      </c>
      <c r="E65" s="46">
        <v>46111</v>
      </c>
      <c r="F65" s="46">
        <v>46117</v>
      </c>
      <c r="G65" s="10"/>
      <c r="H65" s="10">
        <f t="shared" si="5"/>
        <v>7</v>
      </c>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2:64" ht="30" customHeight="1" thickBot="1" x14ac:dyDescent="0.4">
      <c r="B66" s="38" t="s">
        <v>80</v>
      </c>
      <c r="C66" s="31" t="s">
        <v>3</v>
      </c>
      <c r="D66" s="13">
        <v>1</v>
      </c>
      <c r="E66" s="46">
        <v>46111</v>
      </c>
      <c r="F66" s="46">
        <v>46117</v>
      </c>
      <c r="G66" s="10"/>
      <c r="H66" s="10">
        <f t="shared" si="5"/>
        <v>7</v>
      </c>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2:64" ht="30" customHeight="1" thickBot="1" x14ac:dyDescent="0.4">
      <c r="B67" s="38" t="s">
        <v>81</v>
      </c>
      <c r="C67" s="31" t="s">
        <v>3</v>
      </c>
      <c r="D67" s="13">
        <v>1</v>
      </c>
      <c r="E67" s="46">
        <v>46111</v>
      </c>
      <c r="F67" s="46">
        <v>46117</v>
      </c>
      <c r="G67" s="10"/>
      <c r="H67" s="10">
        <f t="shared" si="5"/>
        <v>7</v>
      </c>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2:64" ht="30" customHeight="1" thickBot="1" x14ac:dyDescent="0.4">
      <c r="B68" s="38" t="s">
        <v>82</v>
      </c>
      <c r="C68" s="31" t="s">
        <v>3</v>
      </c>
      <c r="D68" s="13">
        <v>1</v>
      </c>
      <c r="E68" s="46">
        <v>46111</v>
      </c>
      <c r="F68" s="46">
        <v>46117</v>
      </c>
      <c r="G68" s="10"/>
      <c r="H68" s="10">
        <f t="shared" si="5"/>
        <v>7</v>
      </c>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2:64" ht="30" customHeight="1" thickBot="1" x14ac:dyDescent="0.4">
      <c r="B69" s="38" t="s">
        <v>83</v>
      </c>
      <c r="C69" s="31" t="s">
        <v>3</v>
      </c>
      <c r="D69" s="13">
        <v>1</v>
      </c>
      <c r="E69" s="46">
        <v>46111</v>
      </c>
      <c r="F69" s="46">
        <v>46117</v>
      </c>
      <c r="G69" s="10"/>
      <c r="H69" s="10">
        <f t="shared" si="5"/>
        <v>7</v>
      </c>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2:64" ht="30" customHeight="1" thickBot="1" x14ac:dyDescent="0.4">
      <c r="B70" s="38" t="s">
        <v>84</v>
      </c>
      <c r="C70" s="31" t="s">
        <v>3</v>
      </c>
      <c r="D70" s="13">
        <v>1</v>
      </c>
      <c r="E70" s="46">
        <v>46111</v>
      </c>
      <c r="F70" s="46">
        <v>46117</v>
      </c>
      <c r="G70" s="10"/>
      <c r="H70" s="10">
        <f t="shared" si="5"/>
        <v>7</v>
      </c>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2:64" ht="30" customHeight="1" thickBot="1" x14ac:dyDescent="0.4">
      <c r="B71" s="14" t="s">
        <v>85</v>
      </c>
      <c r="C71" s="32"/>
      <c r="D71" s="15"/>
      <c r="E71" s="47"/>
      <c r="F71" s="48"/>
      <c r="G71" s="10"/>
      <c r="H71" s="10" t="str">
        <f t="shared" ref="H71:H85" si="6">IF(OR(ISBLANK(Inizio_attività),ISBLANK(fine_attività)),"",fine_attività-Inizio_attività+1)</f>
        <v/>
      </c>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2:64" ht="30" customHeight="1" thickBot="1" x14ac:dyDescent="0.4">
      <c r="B72" s="39" t="s">
        <v>86</v>
      </c>
      <c r="C72" s="33" t="s">
        <v>3</v>
      </c>
      <c r="D72" s="16">
        <v>1</v>
      </c>
      <c r="E72" s="49">
        <v>46111</v>
      </c>
      <c r="F72" s="67">
        <v>46117</v>
      </c>
      <c r="G72" s="10"/>
      <c r="H72" s="10">
        <f t="shared" si="6"/>
        <v>7</v>
      </c>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2:64" ht="30" customHeight="1" thickBot="1" x14ac:dyDescent="0.4">
      <c r="B73" s="39" t="s">
        <v>87</v>
      </c>
      <c r="C73" s="33" t="s">
        <v>3</v>
      </c>
      <c r="D73" s="16">
        <v>1</v>
      </c>
      <c r="E73" s="49">
        <v>46111</v>
      </c>
      <c r="F73" s="67">
        <v>46117</v>
      </c>
      <c r="G73" s="10"/>
      <c r="H73" s="10">
        <f t="shared" si="6"/>
        <v>7</v>
      </c>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2:64" ht="30" customHeight="1" thickBot="1" x14ac:dyDescent="0.4">
      <c r="B74" s="39" t="s">
        <v>88</v>
      </c>
      <c r="C74" s="33" t="s">
        <v>3</v>
      </c>
      <c r="D74" s="16">
        <v>1</v>
      </c>
      <c r="E74" s="49">
        <v>46111</v>
      </c>
      <c r="F74" s="67">
        <v>46117</v>
      </c>
      <c r="G74" s="10"/>
      <c r="H74" s="10">
        <f t="shared" si="6"/>
        <v>7</v>
      </c>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2:64" ht="30" customHeight="1" thickBot="1" x14ac:dyDescent="0.4">
      <c r="B75" s="39" t="s">
        <v>89</v>
      </c>
      <c r="C75" s="33" t="s">
        <v>3</v>
      </c>
      <c r="D75" s="16">
        <v>1</v>
      </c>
      <c r="E75" s="49">
        <v>46111</v>
      </c>
      <c r="F75" s="67">
        <v>46117</v>
      </c>
      <c r="G75" s="10"/>
      <c r="H75" s="10">
        <f t="shared" si="6"/>
        <v>7</v>
      </c>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2:64" ht="30" customHeight="1" thickBot="1" x14ac:dyDescent="0.4">
      <c r="B76" s="39" t="s">
        <v>90</v>
      </c>
      <c r="C76" s="33" t="s">
        <v>3</v>
      </c>
      <c r="D76" s="16">
        <v>1</v>
      </c>
      <c r="E76" s="49">
        <v>46111</v>
      </c>
      <c r="F76" s="67">
        <v>46117</v>
      </c>
      <c r="G76" s="10"/>
      <c r="H76" s="10">
        <f t="shared" si="6"/>
        <v>7</v>
      </c>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2:64" ht="30" customHeight="1" thickBot="1" x14ac:dyDescent="0.4">
      <c r="B77" s="39" t="s">
        <v>91</v>
      </c>
      <c r="C77" s="33" t="s">
        <v>3</v>
      </c>
      <c r="D77" s="16">
        <v>1</v>
      </c>
      <c r="E77" s="49">
        <v>46111</v>
      </c>
      <c r="F77" s="67">
        <v>46117</v>
      </c>
      <c r="G77" s="10"/>
      <c r="H77" s="10">
        <f t="shared" si="6"/>
        <v>7</v>
      </c>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2:64" ht="30" customHeight="1" thickBot="1" x14ac:dyDescent="0.4">
      <c r="B78" s="17" t="s">
        <v>92</v>
      </c>
      <c r="C78" s="34"/>
      <c r="D78" s="18"/>
      <c r="E78" s="50"/>
      <c r="F78" s="51"/>
      <c r="G78" s="10"/>
      <c r="H78" s="10" t="str">
        <f t="shared" si="6"/>
        <v/>
      </c>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2:64" ht="30" customHeight="1" thickBot="1" x14ac:dyDescent="0.4">
      <c r="B79" s="40" t="s">
        <v>93</v>
      </c>
      <c r="C79" s="35" t="s">
        <v>3</v>
      </c>
      <c r="D79" s="13">
        <v>1</v>
      </c>
      <c r="E79" s="52">
        <v>46111</v>
      </c>
      <c r="F79" s="52">
        <v>46117</v>
      </c>
      <c r="G79" s="10"/>
      <c r="H79" s="10">
        <f t="shared" si="6"/>
        <v>7</v>
      </c>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2:64" ht="30" customHeight="1" thickBot="1" x14ac:dyDescent="0.4">
      <c r="B80" s="40" t="s">
        <v>94</v>
      </c>
      <c r="C80" s="35" t="s">
        <v>3</v>
      </c>
      <c r="D80" s="13">
        <v>1</v>
      </c>
      <c r="E80" s="52">
        <v>46111</v>
      </c>
      <c r="F80" s="52">
        <v>46117</v>
      </c>
      <c r="G80" s="10"/>
      <c r="H80" s="10">
        <f t="shared" si="6"/>
        <v>7</v>
      </c>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2:64" ht="30" customHeight="1" thickBot="1" x14ac:dyDescent="0.4">
      <c r="B81" s="19" t="s">
        <v>95</v>
      </c>
      <c r="C81" s="36"/>
      <c r="D81" s="20"/>
      <c r="E81" s="53"/>
      <c r="F81" s="54"/>
      <c r="G81" s="10"/>
      <c r="H81" s="10" t="str">
        <f t="shared" si="6"/>
        <v/>
      </c>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2:64" ht="30" customHeight="1" thickBot="1" x14ac:dyDescent="0.4">
      <c r="B82" s="41" t="s">
        <v>96</v>
      </c>
      <c r="C82" s="37" t="s">
        <v>3</v>
      </c>
      <c r="D82" s="13">
        <v>0</v>
      </c>
      <c r="E82" s="55">
        <v>46126</v>
      </c>
      <c r="F82" s="55"/>
      <c r="G82" s="10"/>
      <c r="H82" s="10" t="str">
        <f t="shared" si="6"/>
        <v/>
      </c>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row r="83" spans="2:64" ht="30" customHeight="1" thickBot="1" x14ac:dyDescent="0.4">
      <c r="B83" s="41" t="s">
        <v>97</v>
      </c>
      <c r="C83" s="37" t="s">
        <v>3</v>
      </c>
      <c r="D83" s="13">
        <v>0</v>
      </c>
      <c r="E83" s="55">
        <v>46126</v>
      </c>
      <c r="F83" s="55"/>
      <c r="G83" s="10"/>
      <c r="H83" s="10" t="str">
        <f t="shared" si="6"/>
        <v/>
      </c>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row>
    <row r="84" spans="2:64" ht="30" customHeight="1" thickBot="1" x14ac:dyDescent="0.4">
      <c r="B84" s="41" t="s">
        <v>98</v>
      </c>
      <c r="C84" s="37" t="s">
        <v>3</v>
      </c>
      <c r="D84" s="13">
        <v>0</v>
      </c>
      <c r="E84" s="55">
        <v>46126</v>
      </c>
      <c r="F84" s="55"/>
      <c r="G84" s="10"/>
      <c r="H84" s="10" t="str">
        <f t="shared" si="6"/>
        <v/>
      </c>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row>
    <row r="85" spans="2:64" ht="30" customHeight="1" thickBot="1" x14ac:dyDescent="0.4">
      <c r="B85" s="41" t="s">
        <v>99</v>
      </c>
      <c r="C85" s="37" t="s">
        <v>3</v>
      </c>
      <c r="D85" s="13">
        <v>0</v>
      </c>
      <c r="E85" s="55">
        <v>46126</v>
      </c>
      <c r="F85" s="55"/>
      <c r="G85" s="10"/>
      <c r="H85" s="10" t="str">
        <f t="shared" si="6"/>
        <v/>
      </c>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row>
    <row r="86" spans="2:64" ht="30" customHeight="1" thickBot="1" x14ac:dyDescent="0.4">
      <c r="B86" s="68" t="s">
        <v>101</v>
      </c>
      <c r="C86" s="69">
        <v>8</v>
      </c>
      <c r="D86" s="69" t="s">
        <v>107</v>
      </c>
      <c r="E86" s="69"/>
      <c r="F86" s="69"/>
    </row>
    <row r="87" spans="2:64" ht="30" customHeight="1" thickBot="1" x14ac:dyDescent="0.4">
      <c r="B87" s="68" t="s">
        <v>102</v>
      </c>
      <c r="C87" s="69">
        <v>20</v>
      </c>
      <c r="D87" s="69" t="s">
        <v>104</v>
      </c>
      <c r="E87" s="69"/>
      <c r="F87" s="69"/>
    </row>
    <row r="88" spans="2:64" ht="30" customHeight="1" thickBot="1" x14ac:dyDescent="0.4">
      <c r="B88" s="68" t="s">
        <v>103</v>
      </c>
      <c r="C88" s="69">
        <v>75</v>
      </c>
      <c r="D88" s="69" t="s">
        <v>105</v>
      </c>
      <c r="E88" s="69"/>
      <c r="F88" s="69"/>
    </row>
    <row r="89" spans="2:64" ht="30" customHeight="1" thickBot="1" x14ac:dyDescent="0.4">
      <c r="B89" s="68" t="s">
        <v>106</v>
      </c>
      <c r="C89" s="69">
        <f ca="1">8*(TODAY()-Inizio_progetto)</f>
        <v>136</v>
      </c>
      <c r="D89" s="69" t="s">
        <v>107</v>
      </c>
      <c r="E89" s="69"/>
      <c r="F89" s="69"/>
    </row>
    <row r="90" spans="2:64" ht="30" customHeight="1" thickBot="1" x14ac:dyDescent="0.4">
      <c r="B90" s="68" t="s">
        <v>108</v>
      </c>
      <c r="C90" s="69">
        <f>MONTH(3)*20</f>
        <v>20</v>
      </c>
      <c r="D90" s="69" t="s">
        <v>109</v>
      </c>
      <c r="E90" s="69"/>
      <c r="F90" s="69"/>
    </row>
    <row r="91" spans="2:64" ht="30" customHeight="1" thickBot="1" x14ac:dyDescent="0.4">
      <c r="C91" s="69"/>
      <c r="D91" s="69"/>
      <c r="E91" s="69"/>
      <c r="F91" s="69"/>
    </row>
    <row r="92" spans="2:64" ht="30" customHeight="1" thickBot="1" x14ac:dyDescent="0.4">
      <c r="B92" s="21" t="s">
        <v>100</v>
      </c>
    </row>
  </sheetData>
  <mergeCells count="11">
    <mergeCell ref="C2:D2"/>
    <mergeCell ref="C3:D3"/>
    <mergeCell ref="AK3:AQ3"/>
    <mergeCell ref="AR3:AX3"/>
    <mergeCell ref="AY3:BE3"/>
    <mergeCell ref="BF3:BL3"/>
    <mergeCell ref="E2:F2"/>
    <mergeCell ref="I3:O3"/>
    <mergeCell ref="P3:V3"/>
    <mergeCell ref="W3:AC3"/>
    <mergeCell ref="AD3:AJ3"/>
  </mergeCells>
  <conditionalFormatting sqref="D6:D42">
    <cfRule type="dataBar" priority="2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BL85">
    <cfRule type="expression" dxfId="2" priority="46">
      <formula>AND(TODAY()&gt;=I$4,TODAY()&lt;J$4)</formula>
    </cfRule>
  </conditionalFormatting>
  <conditionalFormatting sqref="I6:BL85">
    <cfRule type="expression" dxfId="1" priority="40">
      <formula>AND(Inizio_attività&lt;=I$4,ROUNDDOWN((fine_attività-Inizio_attività+1)*avanzamento_attività,0)+Inizio_attività-1&gt;=I$4)</formula>
    </cfRule>
    <cfRule type="expression" dxfId="0" priority="41" stopIfTrue="1">
      <formula>AND(fine_attività&gt;=I$4,Inizio_attività&lt;J$4)</formula>
    </cfRule>
  </conditionalFormatting>
  <conditionalFormatting sqref="D43:D49">
    <cfRule type="dataBar" priority="12">
      <dataBar>
        <cfvo type="num" val="0"/>
        <cfvo type="num" val="1"/>
        <color theme="0" tint="-0.249977111117893"/>
      </dataBar>
      <extLst>
        <ext xmlns:x14="http://schemas.microsoft.com/office/spreadsheetml/2009/9/main" uri="{B025F937-C7B1-47D3-B67F-A62EFF666E3E}">
          <x14:id>{4BAE96C1-E2BA-4EC9-A77B-3ADAD2066D75}</x14:id>
        </ext>
      </extLst>
    </cfRule>
  </conditionalFormatting>
  <conditionalFormatting sqref="D50">
    <cfRule type="dataBar" priority="11">
      <dataBar>
        <cfvo type="num" val="0"/>
        <cfvo type="num" val="1"/>
        <color theme="0" tint="-0.249977111117893"/>
      </dataBar>
      <extLst>
        <ext xmlns:x14="http://schemas.microsoft.com/office/spreadsheetml/2009/9/main" uri="{B025F937-C7B1-47D3-B67F-A62EFF666E3E}">
          <x14:id>{23E8BF97-2AE3-4226-9385-D165D114352D}</x14:id>
        </ext>
      </extLst>
    </cfRule>
  </conditionalFormatting>
  <conditionalFormatting sqref="D57">
    <cfRule type="dataBar" priority="10">
      <dataBar>
        <cfvo type="num" val="0"/>
        <cfvo type="num" val="1"/>
        <color theme="0" tint="-0.249977111117893"/>
      </dataBar>
      <extLst>
        <ext xmlns:x14="http://schemas.microsoft.com/office/spreadsheetml/2009/9/main" uri="{B025F937-C7B1-47D3-B67F-A62EFF666E3E}">
          <x14:id>{F3B145B0-4A84-4D49-905F-9D43B90CC616}</x14:id>
        </ext>
      </extLst>
    </cfRule>
  </conditionalFormatting>
  <conditionalFormatting sqref="D64">
    <cfRule type="dataBar" priority="9">
      <dataBar>
        <cfvo type="num" val="0"/>
        <cfvo type="num" val="1"/>
        <color theme="0" tint="-0.249977111117893"/>
      </dataBar>
      <extLst>
        <ext xmlns:x14="http://schemas.microsoft.com/office/spreadsheetml/2009/9/main" uri="{B025F937-C7B1-47D3-B67F-A62EFF666E3E}">
          <x14:id>{743CDB55-79C8-4D19-9A02-52B22DF1126E}</x14:id>
        </ext>
      </extLst>
    </cfRule>
  </conditionalFormatting>
  <conditionalFormatting sqref="D71:D77">
    <cfRule type="dataBar" priority="8">
      <dataBar>
        <cfvo type="num" val="0"/>
        <cfvo type="num" val="1"/>
        <color theme="0" tint="-0.249977111117893"/>
      </dataBar>
      <extLst>
        <ext xmlns:x14="http://schemas.microsoft.com/office/spreadsheetml/2009/9/main" uri="{B025F937-C7B1-47D3-B67F-A62EFF666E3E}">
          <x14:id>{E57DD81F-E012-4BD4-8A78-7EA3D58C3F7B}</x14:id>
        </ext>
      </extLst>
    </cfRule>
  </conditionalFormatting>
  <conditionalFormatting sqref="D78">
    <cfRule type="dataBar" priority="7">
      <dataBar>
        <cfvo type="num" val="0"/>
        <cfvo type="num" val="1"/>
        <color theme="0" tint="-0.249977111117893"/>
      </dataBar>
      <extLst>
        <ext xmlns:x14="http://schemas.microsoft.com/office/spreadsheetml/2009/9/main" uri="{B025F937-C7B1-47D3-B67F-A62EFF666E3E}">
          <x14:id>{1E048E3C-F498-4E9E-ABF7-3CF2D192CF55}</x14:id>
        </ext>
      </extLst>
    </cfRule>
  </conditionalFormatting>
  <conditionalFormatting sqref="D81">
    <cfRule type="dataBar" priority="6">
      <dataBar>
        <cfvo type="num" val="0"/>
        <cfvo type="num" val="1"/>
        <color theme="0" tint="-0.249977111117893"/>
      </dataBar>
      <extLst>
        <ext xmlns:x14="http://schemas.microsoft.com/office/spreadsheetml/2009/9/main" uri="{B025F937-C7B1-47D3-B67F-A62EFF666E3E}">
          <x14:id>{C510E8C4-D086-4D8C-A965-B301675F951B}</x14:id>
        </ext>
      </extLst>
    </cfRule>
  </conditionalFormatting>
  <conditionalFormatting sqref="D51:D56">
    <cfRule type="dataBar" priority="5">
      <dataBar>
        <cfvo type="num" val="0"/>
        <cfvo type="num" val="1"/>
        <color theme="0" tint="-0.249977111117893"/>
      </dataBar>
      <extLst>
        <ext xmlns:x14="http://schemas.microsoft.com/office/spreadsheetml/2009/9/main" uri="{B025F937-C7B1-47D3-B67F-A62EFF666E3E}">
          <x14:id>{316A2501-AB18-4FEF-8A74-B78F12B3FA92}</x14:id>
        </ext>
      </extLst>
    </cfRule>
  </conditionalFormatting>
  <conditionalFormatting sqref="D58:D63">
    <cfRule type="dataBar" priority="4">
      <dataBar>
        <cfvo type="num" val="0"/>
        <cfvo type="num" val="1"/>
        <color theme="0" tint="-0.249977111117893"/>
      </dataBar>
      <extLst>
        <ext xmlns:x14="http://schemas.microsoft.com/office/spreadsheetml/2009/9/main" uri="{B025F937-C7B1-47D3-B67F-A62EFF666E3E}">
          <x14:id>{D917F3B3-7DAC-4493-8B68-61AFCED92D2F}</x14:id>
        </ext>
      </extLst>
    </cfRule>
  </conditionalFormatting>
  <conditionalFormatting sqref="D65:D70">
    <cfRule type="dataBar" priority="3">
      <dataBar>
        <cfvo type="num" val="0"/>
        <cfvo type="num" val="1"/>
        <color theme="0" tint="-0.249977111117893"/>
      </dataBar>
      <extLst>
        <ext xmlns:x14="http://schemas.microsoft.com/office/spreadsheetml/2009/9/main" uri="{B025F937-C7B1-47D3-B67F-A62EFF666E3E}">
          <x14:id>{8875C8E5-39B1-45DA-8B8A-4BE878FD2169}</x14:id>
        </ext>
      </extLst>
    </cfRule>
  </conditionalFormatting>
  <conditionalFormatting sqref="D79:D80">
    <cfRule type="dataBar" priority="2">
      <dataBar>
        <cfvo type="num" val="0"/>
        <cfvo type="num" val="1"/>
        <color theme="0" tint="-0.249977111117893"/>
      </dataBar>
      <extLst>
        <ext xmlns:x14="http://schemas.microsoft.com/office/spreadsheetml/2009/9/main" uri="{B025F937-C7B1-47D3-B67F-A62EFF666E3E}">
          <x14:id>{D409EC40-8D4F-421C-9C0D-7C1B89B71726}</x14:id>
        </ext>
      </extLst>
    </cfRule>
  </conditionalFormatting>
  <conditionalFormatting sqref="D82:D85">
    <cfRule type="dataBar" priority="1">
      <dataBar>
        <cfvo type="num" val="0"/>
        <cfvo type="num" val="1"/>
        <color theme="0" tint="-0.249977111117893"/>
      </dataBar>
      <extLst>
        <ext xmlns:x14="http://schemas.microsoft.com/office/spreadsheetml/2009/9/main" uri="{B025F937-C7B1-47D3-B67F-A62EFF666E3E}">
          <x14:id>{0A158164-9F3D-47E4-82F4-B07060B135EA}</x14:id>
        </ext>
      </extLst>
    </cfRule>
  </conditionalFormatting>
  <dataValidations count="1">
    <dataValidation type="whole" operator="greaterThanOrEqual" allowBlank="1" showInputMessage="1" promptTitle="Visualizza settimana:" prompt="Cambiando questo numero si scorre la visualizzazione del diagramma di Gantt." sqref="E3">
      <formula1>1</formula1>
    </dataValidation>
  </dataValidations>
  <printOptions horizontalCentered="1"/>
  <pageMargins left="0.35" right="0.35" top="0.35" bottom="0.5" header="0.3" footer="0.3"/>
  <pageSetup paperSize="9" scale="56" fitToHeight="0" orientation="landscape" r:id="rId1"/>
  <headerFooter differentFirst="1" scaleWithDoc="0">
    <oddFooter>Page &amp;P of &amp;N</oddFooter>
  </headerFooter>
  <rowBreaks count="1" manualBreakCount="1">
    <brk id="35" max="16383" man="1"/>
  </rowBreaks>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D6:D42</xm:sqref>
        </x14:conditionalFormatting>
        <x14:conditionalFormatting xmlns:xm="http://schemas.microsoft.com/office/excel/2006/main">
          <x14:cfRule type="dataBar" id="{4BAE96C1-E2BA-4EC9-A77B-3ADAD2066D75}">
            <x14:dataBar minLength="0" maxLength="100" gradient="0">
              <x14:cfvo type="num">
                <xm:f>0</xm:f>
              </x14:cfvo>
              <x14:cfvo type="num">
                <xm:f>1</xm:f>
              </x14:cfvo>
              <x14:negativeFillColor rgb="FFFF0000"/>
              <x14:axisColor rgb="FF000000"/>
            </x14:dataBar>
          </x14:cfRule>
          <xm:sqref>D43:D49</xm:sqref>
        </x14:conditionalFormatting>
        <x14:conditionalFormatting xmlns:xm="http://schemas.microsoft.com/office/excel/2006/main">
          <x14:cfRule type="dataBar" id="{23E8BF97-2AE3-4226-9385-D165D114352D}">
            <x14:dataBar minLength="0" maxLength="100" gradient="0">
              <x14:cfvo type="num">
                <xm:f>0</xm:f>
              </x14:cfvo>
              <x14:cfvo type="num">
                <xm:f>1</xm:f>
              </x14:cfvo>
              <x14:negativeFillColor rgb="FFFF0000"/>
              <x14:axisColor rgb="FF000000"/>
            </x14:dataBar>
          </x14:cfRule>
          <xm:sqref>D50</xm:sqref>
        </x14:conditionalFormatting>
        <x14:conditionalFormatting xmlns:xm="http://schemas.microsoft.com/office/excel/2006/main">
          <x14:cfRule type="dataBar" id="{F3B145B0-4A84-4D49-905F-9D43B90CC616}">
            <x14:dataBar minLength="0" maxLength="100" gradient="0">
              <x14:cfvo type="num">
                <xm:f>0</xm:f>
              </x14:cfvo>
              <x14:cfvo type="num">
                <xm:f>1</xm:f>
              </x14:cfvo>
              <x14:negativeFillColor rgb="FFFF0000"/>
              <x14:axisColor rgb="FF000000"/>
            </x14:dataBar>
          </x14:cfRule>
          <xm:sqref>D57</xm:sqref>
        </x14:conditionalFormatting>
        <x14:conditionalFormatting xmlns:xm="http://schemas.microsoft.com/office/excel/2006/main">
          <x14:cfRule type="dataBar" id="{743CDB55-79C8-4D19-9A02-52B22DF1126E}">
            <x14:dataBar minLength="0" maxLength="100" gradient="0">
              <x14:cfvo type="num">
                <xm:f>0</xm:f>
              </x14:cfvo>
              <x14:cfvo type="num">
                <xm:f>1</xm:f>
              </x14:cfvo>
              <x14:negativeFillColor rgb="FFFF0000"/>
              <x14:axisColor rgb="FF000000"/>
            </x14:dataBar>
          </x14:cfRule>
          <xm:sqref>D64</xm:sqref>
        </x14:conditionalFormatting>
        <x14:conditionalFormatting xmlns:xm="http://schemas.microsoft.com/office/excel/2006/main">
          <x14:cfRule type="dataBar" id="{E57DD81F-E012-4BD4-8A78-7EA3D58C3F7B}">
            <x14:dataBar minLength="0" maxLength="100" gradient="0">
              <x14:cfvo type="num">
                <xm:f>0</xm:f>
              </x14:cfvo>
              <x14:cfvo type="num">
                <xm:f>1</xm:f>
              </x14:cfvo>
              <x14:negativeFillColor rgb="FFFF0000"/>
              <x14:axisColor rgb="FF000000"/>
            </x14:dataBar>
          </x14:cfRule>
          <xm:sqref>D71:D77</xm:sqref>
        </x14:conditionalFormatting>
        <x14:conditionalFormatting xmlns:xm="http://schemas.microsoft.com/office/excel/2006/main">
          <x14:cfRule type="dataBar" id="{1E048E3C-F498-4E9E-ABF7-3CF2D192CF55}">
            <x14:dataBar minLength="0" maxLength="100" gradient="0">
              <x14:cfvo type="num">
                <xm:f>0</xm:f>
              </x14:cfvo>
              <x14:cfvo type="num">
                <xm:f>1</xm:f>
              </x14:cfvo>
              <x14:negativeFillColor rgb="FFFF0000"/>
              <x14:axisColor rgb="FF000000"/>
            </x14:dataBar>
          </x14:cfRule>
          <xm:sqref>D78</xm:sqref>
        </x14:conditionalFormatting>
        <x14:conditionalFormatting xmlns:xm="http://schemas.microsoft.com/office/excel/2006/main">
          <x14:cfRule type="dataBar" id="{C510E8C4-D086-4D8C-A965-B301675F951B}">
            <x14:dataBar minLength="0" maxLength="100" gradient="0">
              <x14:cfvo type="num">
                <xm:f>0</xm:f>
              </x14:cfvo>
              <x14:cfvo type="num">
                <xm:f>1</xm:f>
              </x14:cfvo>
              <x14:negativeFillColor rgb="FFFF0000"/>
              <x14:axisColor rgb="FF000000"/>
            </x14:dataBar>
          </x14:cfRule>
          <xm:sqref>D81</xm:sqref>
        </x14:conditionalFormatting>
        <x14:conditionalFormatting xmlns:xm="http://schemas.microsoft.com/office/excel/2006/main">
          <x14:cfRule type="dataBar" id="{316A2501-AB18-4FEF-8A74-B78F12B3FA92}">
            <x14:dataBar minLength="0" maxLength="100" gradient="0">
              <x14:cfvo type="num">
                <xm:f>0</xm:f>
              </x14:cfvo>
              <x14:cfvo type="num">
                <xm:f>1</xm:f>
              </x14:cfvo>
              <x14:negativeFillColor rgb="FFFF0000"/>
              <x14:axisColor rgb="FF000000"/>
            </x14:dataBar>
          </x14:cfRule>
          <xm:sqref>D51:D56</xm:sqref>
        </x14:conditionalFormatting>
        <x14:conditionalFormatting xmlns:xm="http://schemas.microsoft.com/office/excel/2006/main">
          <x14:cfRule type="dataBar" id="{D917F3B3-7DAC-4493-8B68-61AFCED92D2F}">
            <x14:dataBar minLength="0" maxLength="100" gradient="0">
              <x14:cfvo type="num">
                <xm:f>0</xm:f>
              </x14:cfvo>
              <x14:cfvo type="num">
                <xm:f>1</xm:f>
              </x14:cfvo>
              <x14:negativeFillColor rgb="FFFF0000"/>
              <x14:axisColor rgb="FF000000"/>
            </x14:dataBar>
          </x14:cfRule>
          <xm:sqref>D58:D63</xm:sqref>
        </x14:conditionalFormatting>
        <x14:conditionalFormatting xmlns:xm="http://schemas.microsoft.com/office/excel/2006/main">
          <x14:cfRule type="dataBar" id="{8875C8E5-39B1-45DA-8B8A-4BE878FD2169}">
            <x14:dataBar minLength="0" maxLength="100" gradient="0">
              <x14:cfvo type="num">
                <xm:f>0</xm:f>
              </x14:cfvo>
              <x14:cfvo type="num">
                <xm:f>1</xm:f>
              </x14:cfvo>
              <x14:negativeFillColor rgb="FFFF0000"/>
              <x14:axisColor rgb="FF000000"/>
            </x14:dataBar>
          </x14:cfRule>
          <xm:sqref>D65:D70</xm:sqref>
        </x14:conditionalFormatting>
        <x14:conditionalFormatting xmlns:xm="http://schemas.microsoft.com/office/excel/2006/main">
          <x14:cfRule type="dataBar" id="{D409EC40-8D4F-421C-9C0D-7C1B89B71726}">
            <x14:dataBar minLength="0" maxLength="100" gradient="0">
              <x14:cfvo type="num">
                <xm:f>0</xm:f>
              </x14:cfvo>
              <x14:cfvo type="num">
                <xm:f>1</xm:f>
              </x14:cfvo>
              <x14:negativeFillColor rgb="FFFF0000"/>
              <x14:axisColor rgb="FF000000"/>
            </x14:dataBar>
          </x14:cfRule>
          <xm:sqref>D79:D80</xm:sqref>
        </x14:conditionalFormatting>
        <x14:conditionalFormatting xmlns:xm="http://schemas.microsoft.com/office/excel/2006/main">
          <x14:cfRule type="dataBar" id="{0A158164-9F3D-47E4-82F4-B07060B135EA}">
            <x14:dataBar minLength="0" maxLength="100" gradient="0">
              <x14:cfvo type="num">
                <xm:f>0</xm:f>
              </x14:cfvo>
              <x14:cfvo type="num">
                <xm:f>1</xm:f>
              </x14:cfvo>
              <x14:negativeFillColor rgb="FFFF0000"/>
              <x14:axisColor rgb="FF000000"/>
            </x14:dataBar>
          </x14:cfRule>
          <xm:sqref>D82:D85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openxmlformats.org/package/2006/metadata/core-properties"/>
    <ds:schemaRef ds:uri="230e9df3-be65-4c73-a93b-d1236ebd677e"/>
    <ds:schemaRef ds:uri="http://purl.org/dc/dcmitype/"/>
    <ds:schemaRef ds:uri="http://schemas.microsoft.com/office/2006/metadata/properties"/>
    <ds:schemaRef ds:uri="http://schemas.microsoft.com/office/2006/documentManagement/types"/>
    <ds:schemaRef ds:uri="http://purl.org/dc/elements/1.1/"/>
    <ds:schemaRef ds:uri="http://www.w3.org/XML/1998/namespace"/>
    <ds:schemaRef ds:uri="http://purl.org/dc/terms/"/>
    <ds:schemaRef ds:uri="http://schemas.microsoft.com/office/infopath/2007/PartnerControls"/>
    <ds:schemaRef ds:uri="16c05727-aa75-4e4a-9b5f-8a80a1165891"/>
    <ds:schemaRef ds:uri="71af3243-3dd4-4a8d-8c0d-dd76da1f02a5"/>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6</vt:i4>
      </vt:variant>
    </vt:vector>
  </HeadingPairs>
  <TitlesOfParts>
    <vt:vector size="7" baseType="lpstr">
      <vt:lpstr>PianificazioneProgetto</vt:lpstr>
      <vt:lpstr>PianificazioneProgetto!avanzamento_attività</vt:lpstr>
      <vt:lpstr>PianificazioneProgetto!fine_attività</vt:lpstr>
      <vt:lpstr>PianificazioneProgetto!Inizio_attività</vt:lpstr>
      <vt:lpstr>Inizio_progetto</vt:lpstr>
      <vt:lpstr>PianificazioneProgetto!Titoli_stampa</vt:lpstr>
      <vt:lpstr>Visualizza_settimana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2026-04-14T17:20:35Z</dcterms:created>
  <dcterms:modified xsi:type="dcterms:W3CDTF">2026-04-14T18:46:16Z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